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ronassss/Documents/Gain.pro/"/>
    </mc:Choice>
  </mc:AlternateContent>
  <xr:revisionPtr revIDLastSave="0" documentId="13_ncr:1_{703C46FD-A3E5-A343-82A2-70516C893CED}" xr6:coauthVersionLast="47" xr6:coauthVersionMax="47" xr10:uidLastSave="{00000000-0000-0000-0000-000000000000}"/>
  <bookViews>
    <workbookView xWindow="0" yWindow="600" windowWidth="25820" windowHeight="15500" xr2:uid="{00000000-000D-0000-FFFF-FFFF00000000}"/>
  </bookViews>
  <sheets>
    <sheet name="Financials" sheetId="1" r:id="rId1"/>
    <sheet name="Segments" sheetId="2" r:id="rId2"/>
    <sheet name="Footnotes" sheetId="3" r:id="rId3"/>
    <sheet name="Currencies" sheetId="4" state="hidden" r:id="rId4"/>
    <sheet name="Lists" sheetId="5" state="hidden" r:id="rId5"/>
    <sheet name="Version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AOZu6FOxqXDGbr+NNwkZHsHesOwZLV7j9bDTApbjPiE="/>
    </ext>
  </extLst>
</workbook>
</file>

<file path=xl/calcChain.xml><?xml version="1.0" encoding="utf-8"?>
<calcChain xmlns="http://schemas.openxmlformats.org/spreadsheetml/2006/main">
  <c r="L123" i="1" l="1"/>
  <c r="L87" i="1" s="1"/>
  <c r="M123" i="1"/>
  <c r="M87" i="1" s="1"/>
  <c r="N123" i="1"/>
  <c r="N87" i="1" s="1"/>
  <c r="N89" i="1" s="1"/>
  <c r="O123" i="1"/>
  <c r="O87" i="1" s="1"/>
  <c r="P123" i="1"/>
  <c r="P87" i="1" s="1"/>
  <c r="K123" i="1"/>
  <c r="K87" i="1" s="1"/>
  <c r="U61" i="1"/>
  <c r="O80" i="1"/>
  <c r="O21" i="1" s="1"/>
  <c r="U92" i="1"/>
  <c r="U91" i="1"/>
  <c r="U88" i="1"/>
  <c r="U84" i="1"/>
  <c r="U83" i="1"/>
  <c r="U82" i="1"/>
  <c r="U78" i="1"/>
  <c r="U79" i="1"/>
  <c r="U73" i="1"/>
  <c r="U66" i="1"/>
  <c r="U65" i="1"/>
  <c r="U62" i="1"/>
  <c r="U72" i="1"/>
  <c r="S47" i="3"/>
  <c r="S44" i="3" s="1"/>
  <c r="R47" i="3"/>
  <c r="R49" i="3" s="1"/>
  <c r="Q47" i="3"/>
  <c r="Q48" i="3" s="1"/>
  <c r="P47" i="3"/>
  <c r="P48" i="3" s="1"/>
  <c r="S34" i="3"/>
  <c r="S31" i="3" s="1"/>
  <c r="R34" i="3"/>
  <c r="R36" i="3" s="1"/>
  <c r="Q34" i="3"/>
  <c r="Q31" i="3" s="1"/>
  <c r="P34" i="3"/>
  <c r="P36" i="3" s="1"/>
  <c r="S21" i="3"/>
  <c r="R21" i="3"/>
  <c r="R23" i="3" s="1"/>
  <c r="Q21" i="3"/>
  <c r="Q22" i="3" s="1"/>
  <c r="P21" i="3"/>
  <c r="P22" i="3" s="1"/>
  <c r="S3" i="3"/>
  <c r="S8" i="3" s="1"/>
  <c r="S5" i="3" s="1"/>
  <c r="R3" i="3"/>
  <c r="R8" i="3" s="1"/>
  <c r="R10" i="3" s="1"/>
  <c r="Q3" i="3"/>
  <c r="Q8" i="3" s="1"/>
  <c r="Q9" i="3" s="1"/>
  <c r="P3" i="3"/>
  <c r="P8" i="3" s="1"/>
  <c r="P9" i="3" s="1"/>
  <c r="S23" i="1"/>
  <c r="R23" i="1"/>
  <c r="Q23" i="1"/>
  <c r="O23" i="1"/>
  <c r="N23" i="1"/>
  <c r="L23" i="1"/>
  <c r="J93" i="1"/>
  <c r="J23" i="1" s="1"/>
  <c r="I93" i="1"/>
  <c r="I23" i="1" s="1"/>
  <c r="H93" i="1"/>
  <c r="H23" i="1" s="1"/>
  <c r="G93" i="1"/>
  <c r="G23" i="1" s="1"/>
  <c r="F93" i="1"/>
  <c r="F23" i="1" s="1"/>
  <c r="E93" i="1"/>
  <c r="E23" i="1" s="1"/>
  <c r="P80" i="1"/>
  <c r="P21" i="1" s="1"/>
  <c r="S60" i="1"/>
  <c r="R60" i="1"/>
  <c r="Q60" i="1"/>
  <c r="P60" i="1"/>
  <c r="O60" i="1"/>
  <c r="N60" i="1"/>
  <c r="M60" i="1"/>
  <c r="S76" i="1"/>
  <c r="R76" i="1"/>
  <c r="R15" i="1" s="1"/>
  <c r="Q76" i="1"/>
  <c r="P76" i="1"/>
  <c r="P15" i="1" s="1"/>
  <c r="O76" i="1"/>
  <c r="O15" i="1" s="1"/>
  <c r="L76" i="1"/>
  <c r="J74" i="1"/>
  <c r="J76" i="1" s="1"/>
  <c r="I74" i="1"/>
  <c r="I76" i="1" s="1"/>
  <c r="I103" i="1" s="1"/>
  <c r="H74" i="1"/>
  <c r="H76" i="1" s="1"/>
  <c r="H103" i="1" s="1"/>
  <c r="G74" i="1"/>
  <c r="G76" i="1" s="1"/>
  <c r="G103" i="1" s="1"/>
  <c r="F74" i="1"/>
  <c r="F76" i="1" s="1"/>
  <c r="E74" i="1"/>
  <c r="E76" i="1" s="1"/>
  <c r="E103" i="1" s="1"/>
  <c r="S171" i="1"/>
  <c r="S164" i="1"/>
  <c r="S160" i="1"/>
  <c r="S155" i="1"/>
  <c r="S151" i="1"/>
  <c r="S145" i="1" s="1"/>
  <c r="S138" i="1"/>
  <c r="S142" i="1" s="1"/>
  <c r="S133" i="1"/>
  <c r="S134" i="1" s="1"/>
  <c r="S128" i="1"/>
  <c r="S123" i="1"/>
  <c r="S96" i="1"/>
  <c r="S89" i="1"/>
  <c r="S85" i="1"/>
  <c r="S80" i="1"/>
  <c r="S21" i="1" s="1"/>
  <c r="S63" i="1"/>
  <c r="S67" i="1" s="1"/>
  <c r="S11" i="1" s="1"/>
  <c r="S34" i="1"/>
  <c r="S31" i="1"/>
  <c r="S30" i="1"/>
  <c r="S29" i="1"/>
  <c r="S26" i="1"/>
  <c r="S25" i="1"/>
  <c r="S19" i="1"/>
  <c r="R171" i="1"/>
  <c r="R164" i="1"/>
  <c r="R160" i="1"/>
  <c r="R155" i="1"/>
  <c r="R151" i="1"/>
  <c r="R145" i="1" s="1"/>
  <c r="R138" i="1"/>
  <c r="R142" i="1" s="1"/>
  <c r="R133" i="1"/>
  <c r="R134" i="1" s="1"/>
  <c r="R128" i="1"/>
  <c r="R123" i="1"/>
  <c r="R96" i="1"/>
  <c r="R89" i="1"/>
  <c r="R85" i="1"/>
  <c r="R80" i="1"/>
  <c r="R21" i="1" s="1"/>
  <c r="R63" i="1"/>
  <c r="R67" i="1" s="1"/>
  <c r="R11" i="1" s="1"/>
  <c r="R34" i="1"/>
  <c r="R31" i="1"/>
  <c r="R30" i="1"/>
  <c r="R29" i="1"/>
  <c r="R26" i="1"/>
  <c r="R25" i="1"/>
  <c r="R19" i="1"/>
  <c r="Q171" i="1"/>
  <c r="Q164" i="1"/>
  <c r="Q160" i="1"/>
  <c r="Q155" i="1"/>
  <c r="Q151" i="1"/>
  <c r="Q145" i="1" s="1"/>
  <c r="Q138" i="1"/>
  <c r="Q142" i="1" s="1"/>
  <c r="Q133" i="1"/>
  <c r="Q134" i="1" s="1"/>
  <c r="Q128" i="1"/>
  <c r="Q123" i="1"/>
  <c r="Q96" i="1"/>
  <c r="Q89" i="1"/>
  <c r="Q85" i="1"/>
  <c r="Q80" i="1"/>
  <c r="Q21" i="1" s="1"/>
  <c r="Q63" i="1"/>
  <c r="Q9" i="1" s="1"/>
  <c r="Q34" i="1"/>
  <c r="Q31" i="1"/>
  <c r="Q30" i="1"/>
  <c r="Q29" i="1"/>
  <c r="Q26" i="1"/>
  <c r="Q25" i="1"/>
  <c r="Q19" i="1"/>
  <c r="P171" i="1"/>
  <c r="P164" i="1"/>
  <c r="P160" i="1"/>
  <c r="P155" i="1"/>
  <c r="P151" i="1"/>
  <c r="P145" i="1" s="1"/>
  <c r="P138" i="1"/>
  <c r="P142" i="1" s="1"/>
  <c r="P133" i="1"/>
  <c r="P134" i="1" s="1"/>
  <c r="P128" i="1"/>
  <c r="P96" i="1"/>
  <c r="P85" i="1"/>
  <c r="P63" i="1"/>
  <c r="P9" i="1" s="1"/>
  <c r="P34" i="1"/>
  <c r="P31" i="1"/>
  <c r="P30" i="1"/>
  <c r="P29" i="1"/>
  <c r="P26" i="1"/>
  <c r="P23" i="1"/>
  <c r="P19" i="1"/>
  <c r="O171" i="1"/>
  <c r="O164" i="1"/>
  <c r="O160" i="1"/>
  <c r="O155" i="1"/>
  <c r="O151" i="1"/>
  <c r="O145" i="1" s="1"/>
  <c r="O138" i="1"/>
  <c r="O142" i="1" s="1"/>
  <c r="O133" i="1"/>
  <c r="O134" i="1" s="1"/>
  <c r="O128" i="1"/>
  <c r="O96" i="1"/>
  <c r="O85" i="1"/>
  <c r="O63" i="1"/>
  <c r="O67" i="1" s="1"/>
  <c r="O11" i="1" s="1"/>
  <c r="O34" i="1"/>
  <c r="O31" i="1"/>
  <c r="O30" i="1"/>
  <c r="O29" i="1"/>
  <c r="O26" i="1"/>
  <c r="O19" i="1"/>
  <c r="A28" i="4"/>
  <c r="B62" i="3"/>
  <c r="B63" i="3" s="1"/>
  <c r="B64" i="3" s="1"/>
  <c r="B65" i="3" s="1"/>
  <c r="B66" i="3" s="1"/>
  <c r="B60" i="3"/>
  <c r="B59" i="3"/>
  <c r="B58" i="3"/>
  <c r="B57" i="3"/>
  <c r="X55" i="3" a="1"/>
  <c r="X55" i="3" s="1"/>
  <c r="D2" i="3" s="1"/>
  <c r="U53" i="3"/>
  <c r="D42" i="3"/>
  <c r="U40" i="3"/>
  <c r="D29" i="3"/>
  <c r="O16" i="3"/>
  <c r="O21" i="3" s="1"/>
  <c r="N16" i="3"/>
  <c r="N21" i="3" s="1"/>
  <c r="M16" i="3"/>
  <c r="M21" i="3" s="1"/>
  <c r="M23" i="3" s="1"/>
  <c r="L16" i="3"/>
  <c r="L21" i="3" s="1"/>
  <c r="K16" i="3"/>
  <c r="K21" i="3" s="1"/>
  <c r="J16" i="3"/>
  <c r="J21" i="3" s="1"/>
  <c r="J23" i="3" s="1"/>
  <c r="I16" i="3"/>
  <c r="I21" i="3" s="1"/>
  <c r="I22" i="3" s="1"/>
  <c r="H16" i="3"/>
  <c r="H21" i="3" s="1"/>
  <c r="H22" i="3" s="1"/>
  <c r="G16" i="3"/>
  <c r="G21" i="3" s="1"/>
  <c r="G22" i="3" s="1"/>
  <c r="F16" i="3"/>
  <c r="F21" i="3" s="1"/>
  <c r="E16" i="3"/>
  <c r="E21" i="3" s="1"/>
  <c r="E22" i="3" s="1"/>
  <c r="D16" i="3"/>
  <c r="O3" i="3"/>
  <c r="O8" i="3" s="1"/>
  <c r="N3" i="3"/>
  <c r="N8" i="3" s="1"/>
  <c r="M3" i="3"/>
  <c r="M8" i="3" s="1"/>
  <c r="L3" i="3"/>
  <c r="L8" i="3" s="1"/>
  <c r="K3" i="3"/>
  <c r="K8" i="3" s="1"/>
  <c r="K5" i="3" s="1"/>
  <c r="J3" i="3"/>
  <c r="J8" i="3" s="1"/>
  <c r="J10" i="3" s="1"/>
  <c r="I3" i="3"/>
  <c r="I8" i="3" s="1"/>
  <c r="I9" i="3" s="1"/>
  <c r="H3" i="3"/>
  <c r="H8" i="3" s="1"/>
  <c r="H9" i="3" s="1"/>
  <c r="G3" i="3"/>
  <c r="G8" i="3" s="1"/>
  <c r="F3" i="3"/>
  <c r="F8" i="3" s="1"/>
  <c r="E3" i="3"/>
  <c r="E8" i="3" s="1"/>
  <c r="D3" i="3"/>
  <c r="L2" i="3"/>
  <c r="K2" i="3"/>
  <c r="J2" i="3"/>
  <c r="I2" i="3"/>
  <c r="H2" i="3"/>
  <c r="G2" i="3"/>
  <c r="F2" i="3"/>
  <c r="E2" i="3"/>
  <c r="O23" i="2"/>
  <c r="J23" i="2"/>
  <c r="E23" i="2"/>
  <c r="O22" i="2"/>
  <c r="J22" i="2"/>
  <c r="E22" i="2"/>
  <c r="O21" i="2"/>
  <c r="J21" i="2"/>
  <c r="E21" i="2"/>
  <c r="O20" i="2"/>
  <c r="J20" i="2"/>
  <c r="E20" i="2"/>
  <c r="O19" i="2"/>
  <c r="J19" i="2"/>
  <c r="E19" i="2"/>
  <c r="O18" i="2"/>
  <c r="J18" i="2"/>
  <c r="E18" i="2"/>
  <c r="O17" i="2"/>
  <c r="J17" i="2"/>
  <c r="E17" i="2"/>
  <c r="O16" i="2"/>
  <c r="J16" i="2"/>
  <c r="E16" i="2"/>
  <c r="O15" i="2"/>
  <c r="J15" i="2"/>
  <c r="E15" i="2"/>
  <c r="O14" i="2"/>
  <c r="J14" i="2"/>
  <c r="E14" i="2"/>
  <c r="O13" i="2"/>
  <c r="J13" i="2"/>
  <c r="E13" i="2"/>
  <c r="O12" i="2"/>
  <c r="J12" i="2"/>
  <c r="E12" i="2"/>
  <c r="O11" i="2"/>
  <c r="J11" i="2"/>
  <c r="E11" i="2"/>
  <c r="O10" i="2"/>
  <c r="J10" i="2"/>
  <c r="E10" i="2"/>
  <c r="O9" i="2"/>
  <c r="J9" i="2"/>
  <c r="E9" i="2"/>
  <c r="L8" i="2"/>
  <c r="G8" i="2"/>
  <c r="B8" i="2"/>
  <c r="N171" i="1"/>
  <c r="M171" i="1"/>
  <c r="L171" i="1"/>
  <c r="K171" i="1"/>
  <c r="J171" i="1"/>
  <c r="I171" i="1"/>
  <c r="H171" i="1"/>
  <c r="G171" i="1"/>
  <c r="F171" i="1"/>
  <c r="N164" i="1"/>
  <c r="M164" i="1"/>
  <c r="L164" i="1"/>
  <c r="K164" i="1"/>
  <c r="J164" i="1"/>
  <c r="I164" i="1"/>
  <c r="H164" i="1"/>
  <c r="G164" i="1"/>
  <c r="F164" i="1"/>
  <c r="E164" i="1"/>
  <c r="N160" i="1"/>
  <c r="M160" i="1"/>
  <c r="L160" i="1"/>
  <c r="K160" i="1"/>
  <c r="J160" i="1"/>
  <c r="I160" i="1"/>
  <c r="H160" i="1"/>
  <c r="G160" i="1"/>
  <c r="F160" i="1"/>
  <c r="E160" i="1"/>
  <c r="N155" i="1"/>
  <c r="M155" i="1"/>
  <c r="L155" i="1"/>
  <c r="K155" i="1"/>
  <c r="J155" i="1"/>
  <c r="I155" i="1"/>
  <c r="H155" i="1"/>
  <c r="G155" i="1"/>
  <c r="F155" i="1"/>
  <c r="E155" i="1"/>
  <c r="N151" i="1"/>
  <c r="N145" i="1" s="1"/>
  <c r="M151" i="1"/>
  <c r="M145" i="1" s="1"/>
  <c r="L151" i="1"/>
  <c r="L145" i="1" s="1"/>
  <c r="K151" i="1"/>
  <c r="K145" i="1" s="1"/>
  <c r="J151" i="1"/>
  <c r="J145" i="1" s="1"/>
  <c r="I151" i="1"/>
  <c r="I145" i="1" s="1"/>
  <c r="H151" i="1"/>
  <c r="H145" i="1" s="1"/>
  <c r="G151" i="1"/>
  <c r="G145" i="1" s="1"/>
  <c r="F151" i="1"/>
  <c r="F145" i="1" s="1"/>
  <c r="E151" i="1"/>
  <c r="E145" i="1" s="1"/>
  <c r="N138" i="1"/>
  <c r="N142" i="1" s="1"/>
  <c r="M138" i="1"/>
  <c r="M142" i="1" s="1"/>
  <c r="L138" i="1"/>
  <c r="L142" i="1" s="1"/>
  <c r="K138" i="1"/>
  <c r="K142" i="1" s="1"/>
  <c r="J138" i="1"/>
  <c r="J142" i="1" s="1"/>
  <c r="I138" i="1"/>
  <c r="I142" i="1" s="1"/>
  <c r="H138" i="1"/>
  <c r="H142" i="1" s="1"/>
  <c r="G138" i="1"/>
  <c r="G142" i="1" s="1"/>
  <c r="F138" i="1"/>
  <c r="F142" i="1" s="1"/>
  <c r="E138" i="1"/>
  <c r="E142" i="1" s="1"/>
  <c r="N133" i="1"/>
  <c r="N134" i="1" s="1"/>
  <c r="M133" i="1"/>
  <c r="M134" i="1" s="1"/>
  <c r="L133" i="1"/>
  <c r="L134" i="1" s="1"/>
  <c r="K133" i="1"/>
  <c r="K134" i="1" s="1"/>
  <c r="J133" i="1"/>
  <c r="J134" i="1" s="1"/>
  <c r="I133" i="1"/>
  <c r="I134" i="1" s="1"/>
  <c r="H133" i="1"/>
  <c r="H134" i="1" s="1"/>
  <c r="G133" i="1"/>
  <c r="G134" i="1" s="1"/>
  <c r="F133" i="1"/>
  <c r="F134" i="1" s="1"/>
  <c r="E133" i="1"/>
  <c r="E134" i="1" s="1"/>
  <c r="N128" i="1"/>
  <c r="M128" i="1"/>
  <c r="L128" i="1"/>
  <c r="K128" i="1"/>
  <c r="J128" i="1"/>
  <c r="I128" i="1"/>
  <c r="H128" i="1"/>
  <c r="G128" i="1"/>
  <c r="F128" i="1"/>
  <c r="E128" i="1"/>
  <c r="J123" i="1"/>
  <c r="I123" i="1"/>
  <c r="H123" i="1"/>
  <c r="G123" i="1"/>
  <c r="F123" i="1"/>
  <c r="E123" i="1"/>
  <c r="N96" i="1"/>
  <c r="M96" i="1"/>
  <c r="L96" i="1"/>
  <c r="K96" i="1"/>
  <c r="J96" i="1"/>
  <c r="I96" i="1"/>
  <c r="H96" i="1"/>
  <c r="G96" i="1"/>
  <c r="F96" i="1"/>
  <c r="J89" i="1"/>
  <c r="I89" i="1"/>
  <c r="H89" i="1"/>
  <c r="G89" i="1"/>
  <c r="F89" i="1"/>
  <c r="E89" i="1"/>
  <c r="N85" i="1"/>
  <c r="M85" i="1"/>
  <c r="L85" i="1"/>
  <c r="K85" i="1"/>
  <c r="J85" i="1"/>
  <c r="I85" i="1"/>
  <c r="H85" i="1"/>
  <c r="G85" i="1"/>
  <c r="F85" i="1"/>
  <c r="E85" i="1"/>
  <c r="N80" i="1"/>
  <c r="N21" i="1" s="1"/>
  <c r="M80" i="1"/>
  <c r="M21" i="1" s="1"/>
  <c r="L80" i="1"/>
  <c r="L21" i="1" s="1"/>
  <c r="K80" i="1"/>
  <c r="K21" i="1" s="1"/>
  <c r="J80" i="1"/>
  <c r="J21" i="1" s="1"/>
  <c r="I80" i="1"/>
  <c r="I21" i="1" s="1"/>
  <c r="H80" i="1"/>
  <c r="H21" i="1" s="1"/>
  <c r="G80" i="1"/>
  <c r="G21" i="1" s="1"/>
  <c r="F80" i="1"/>
  <c r="F21" i="1" s="1"/>
  <c r="E80" i="1"/>
  <c r="E21" i="1" s="1"/>
  <c r="N76" i="1"/>
  <c r="N15" i="1" s="1"/>
  <c r="M76" i="1"/>
  <c r="M103" i="1" s="1"/>
  <c r="K76" i="1"/>
  <c r="K103" i="1" s="1"/>
  <c r="N63" i="1"/>
  <c r="N67" i="1" s="1"/>
  <c r="N11" i="1" s="1"/>
  <c r="M63" i="1"/>
  <c r="M9" i="1" s="1"/>
  <c r="L63" i="1"/>
  <c r="L67" i="1" s="1"/>
  <c r="L11" i="1" s="1"/>
  <c r="K63" i="1"/>
  <c r="K67" i="1" s="1"/>
  <c r="K11" i="1" s="1"/>
  <c r="J63" i="1"/>
  <c r="J67" i="1" s="1"/>
  <c r="J11" i="1" s="1"/>
  <c r="I63" i="1"/>
  <c r="I67" i="1" s="1"/>
  <c r="I11" i="1" s="1"/>
  <c r="H63" i="1"/>
  <c r="H67" i="1" s="1"/>
  <c r="H11" i="1" s="1"/>
  <c r="G63" i="1"/>
  <c r="G67" i="1" s="1"/>
  <c r="G11" i="1" s="1"/>
  <c r="F63" i="1"/>
  <c r="F67" i="1" s="1"/>
  <c r="F11" i="1" s="1"/>
  <c r="E63" i="1"/>
  <c r="E9" i="1" s="1"/>
  <c r="L60" i="1"/>
  <c r="K60" i="1"/>
  <c r="J60" i="1"/>
  <c r="I60" i="1"/>
  <c r="H60" i="1"/>
  <c r="G60" i="1"/>
  <c r="F60" i="1"/>
  <c r="E60" i="1"/>
  <c r="N34" i="1"/>
  <c r="M34" i="1"/>
  <c r="L34" i="1"/>
  <c r="K34" i="1"/>
  <c r="J34" i="1"/>
  <c r="I34" i="1"/>
  <c r="H34" i="1"/>
  <c r="G34" i="1"/>
  <c r="F34" i="1"/>
  <c r="E34" i="1"/>
  <c r="N31" i="1"/>
  <c r="M31" i="1"/>
  <c r="L31" i="1"/>
  <c r="K31" i="1"/>
  <c r="J31" i="1"/>
  <c r="I31" i="1"/>
  <c r="H31" i="1"/>
  <c r="G31" i="1"/>
  <c r="F31" i="1"/>
  <c r="E31" i="1"/>
  <c r="N30" i="1"/>
  <c r="M30" i="1"/>
  <c r="L30" i="1"/>
  <c r="K30" i="1"/>
  <c r="J30" i="1"/>
  <c r="I30" i="1"/>
  <c r="H30" i="1"/>
  <c r="G30" i="1"/>
  <c r="F30" i="1"/>
  <c r="E30" i="1"/>
  <c r="N29" i="1"/>
  <c r="M29" i="1"/>
  <c r="L29" i="1"/>
  <c r="K29" i="1"/>
  <c r="J29" i="1"/>
  <c r="I29" i="1"/>
  <c r="H29" i="1"/>
  <c r="G29" i="1"/>
  <c r="F29" i="1"/>
  <c r="E29" i="1"/>
  <c r="N26" i="1"/>
  <c r="M26" i="1"/>
  <c r="L26" i="1"/>
  <c r="K26" i="1"/>
  <c r="J26" i="1"/>
  <c r="I26" i="1"/>
  <c r="H26" i="1"/>
  <c r="G26" i="1"/>
  <c r="F26" i="1"/>
  <c r="E26" i="1"/>
  <c r="J25" i="1"/>
  <c r="I25" i="1"/>
  <c r="H25" i="1"/>
  <c r="G25" i="1"/>
  <c r="F25" i="1"/>
  <c r="E25" i="1"/>
  <c r="M23" i="1"/>
  <c r="K23" i="1"/>
  <c r="N19" i="1"/>
  <c r="M19" i="1"/>
  <c r="L19" i="1"/>
  <c r="K19" i="1"/>
  <c r="J19" i="1"/>
  <c r="I19" i="1"/>
  <c r="H19" i="1"/>
  <c r="G19" i="1"/>
  <c r="F19" i="1"/>
  <c r="E19" i="1"/>
  <c r="O102" i="1" l="1"/>
  <c r="R9" i="1"/>
  <c r="R20" i="1" s="1"/>
  <c r="S35" i="1"/>
  <c r="O9" i="1"/>
  <c r="O20" i="1" s="1"/>
  <c r="E20" i="1"/>
  <c r="P35" i="1"/>
  <c r="F35" i="1"/>
  <c r="O89" i="1"/>
  <c r="O25" i="1"/>
  <c r="O27" i="1" s="1"/>
  <c r="L25" i="1"/>
  <c r="L27" i="1" s="1"/>
  <c r="L89" i="1"/>
  <c r="L25" i="3"/>
  <c r="L22" i="3"/>
  <c r="S27" i="1"/>
  <c r="F9" i="1"/>
  <c r="F20" i="1" s="1"/>
  <c r="U19" i="1"/>
  <c r="R32" i="1"/>
  <c r="N25" i="3"/>
  <c r="N22" i="3"/>
  <c r="M12" i="3"/>
  <c r="M10" i="3"/>
  <c r="M9" i="3"/>
  <c r="M5" i="3"/>
  <c r="N12" i="3"/>
  <c r="N9" i="3"/>
  <c r="K25" i="1"/>
  <c r="K27" i="1" s="1"/>
  <c r="K89" i="1"/>
  <c r="U87" i="1"/>
  <c r="P25" i="1"/>
  <c r="P27" i="1" s="1"/>
  <c r="P89" i="1"/>
  <c r="M89" i="1"/>
  <c r="M25" i="1"/>
  <c r="M27" i="1" s="1"/>
  <c r="L12" i="3"/>
  <c r="L9" i="3"/>
  <c r="L5" i="3"/>
  <c r="Q10" i="1"/>
  <c r="Q20" i="1"/>
  <c r="F25" i="3"/>
  <c r="F23" i="3"/>
  <c r="E10" i="3"/>
  <c r="E9" i="3"/>
  <c r="E5" i="3"/>
  <c r="F9" i="3"/>
  <c r="F10" i="3"/>
  <c r="F5" i="3"/>
  <c r="G9" i="3"/>
  <c r="G12" i="3"/>
  <c r="G5" i="3"/>
  <c r="R35" i="1"/>
  <c r="O35" i="1"/>
  <c r="O32" i="1"/>
  <c r="N25" i="1"/>
  <c r="N27" i="1" s="1"/>
  <c r="Q32" i="1"/>
  <c r="Q35" i="1"/>
  <c r="R70" i="1"/>
  <c r="P16" i="1"/>
  <c r="U34" i="1"/>
  <c r="Q67" i="1"/>
  <c r="Q11" i="1" s="1"/>
  <c r="Q12" i="1" s="1"/>
  <c r="N9" i="1"/>
  <c r="P35" i="3"/>
  <c r="P32" i="1"/>
  <c r="S32" i="1"/>
  <c r="P44" i="3"/>
  <c r="R27" i="1"/>
  <c r="P67" i="1"/>
  <c r="P11" i="1" s="1"/>
  <c r="Q27" i="1"/>
  <c r="I102" i="1"/>
  <c r="I107" i="1" s="1"/>
  <c r="I13" i="1" s="1"/>
  <c r="J22" i="3"/>
  <c r="M22" i="3"/>
  <c r="S15" i="1"/>
  <c r="S102" i="1"/>
  <c r="S103" i="1"/>
  <c r="Q102" i="1"/>
  <c r="Q70" i="1"/>
  <c r="Q103" i="1"/>
  <c r="J102" i="1"/>
  <c r="J29" i="3" s="1"/>
  <c r="J34" i="3" s="1"/>
  <c r="J36" i="3" s="1"/>
  <c r="J103" i="1"/>
  <c r="J42" i="3" s="1"/>
  <c r="J47" i="3" s="1"/>
  <c r="H102" i="1"/>
  <c r="H29" i="3" s="1"/>
  <c r="H34" i="3" s="1"/>
  <c r="H36" i="3" s="1"/>
  <c r="G102" i="1"/>
  <c r="G29" i="3" s="1"/>
  <c r="G34" i="3" s="1"/>
  <c r="F102" i="1"/>
  <c r="F29" i="3" s="1"/>
  <c r="F34" i="3" s="1"/>
  <c r="F103" i="1"/>
  <c r="E102" i="1"/>
  <c r="E29" i="3" s="1"/>
  <c r="E34" i="3" s="1"/>
  <c r="R102" i="1"/>
  <c r="R103" i="1"/>
  <c r="F15" i="1"/>
  <c r="O103" i="1"/>
  <c r="N102" i="1"/>
  <c r="N103" i="1"/>
  <c r="M102" i="1"/>
  <c r="M107" i="1" s="1"/>
  <c r="M13" i="1" s="1"/>
  <c r="M14" i="1" s="1"/>
  <c r="L102" i="1"/>
  <c r="L103" i="1"/>
  <c r="L42" i="3" s="1"/>
  <c r="L47" i="3" s="1"/>
  <c r="M42" i="3"/>
  <c r="M47" i="3" s="1"/>
  <c r="M48" i="3" s="1"/>
  <c r="K102" i="1"/>
  <c r="K107" i="1" s="1"/>
  <c r="K13" i="1" s="1"/>
  <c r="O9" i="3"/>
  <c r="O12" i="3"/>
  <c r="O5" i="3"/>
  <c r="O10" i="3"/>
  <c r="Q5" i="3"/>
  <c r="N10" i="3"/>
  <c r="Q12" i="3"/>
  <c r="F22" i="3"/>
  <c r="G23" i="3"/>
  <c r="S49" i="3"/>
  <c r="R48" i="3"/>
  <c r="N5" i="3"/>
  <c r="S9" i="3"/>
  <c r="F12" i="3"/>
  <c r="N23" i="3"/>
  <c r="Q36" i="3"/>
  <c r="S48" i="3"/>
  <c r="G25" i="3"/>
  <c r="H12" i="3"/>
  <c r="H25" i="3"/>
  <c r="Q35" i="3"/>
  <c r="G10" i="3"/>
  <c r="I12" i="3"/>
  <c r="R22" i="3"/>
  <c r="P25" i="3"/>
  <c r="P31" i="3"/>
  <c r="R44" i="3"/>
  <c r="I5" i="3"/>
  <c r="K9" i="3"/>
  <c r="L10" i="3"/>
  <c r="E23" i="3"/>
  <c r="O22" i="3"/>
  <c r="O25" i="3" s="1"/>
  <c r="O23" i="3"/>
  <c r="O18" i="3"/>
  <c r="K24" i="3"/>
  <c r="M24" i="3"/>
  <c r="S24" i="3"/>
  <c r="K11" i="3"/>
  <c r="S11" i="3"/>
  <c r="P51" i="3"/>
  <c r="Q51" i="3"/>
  <c r="P49" i="3"/>
  <c r="R51" i="3"/>
  <c r="Q49" i="3"/>
  <c r="S51" i="3"/>
  <c r="Q44" i="3"/>
  <c r="R31" i="3"/>
  <c r="R35" i="3"/>
  <c r="S36" i="3"/>
  <c r="S35" i="3"/>
  <c r="P38" i="3"/>
  <c r="Q38" i="3"/>
  <c r="R38" i="3"/>
  <c r="S38" i="3"/>
  <c r="N24" i="3"/>
  <c r="G24" i="3"/>
  <c r="K23" i="3"/>
  <c r="S23" i="3"/>
  <c r="L24" i="3"/>
  <c r="E25" i="3"/>
  <c r="M25" i="3"/>
  <c r="K22" i="3"/>
  <c r="S22" i="3"/>
  <c r="L23" i="3"/>
  <c r="E24" i="3"/>
  <c r="O24" i="3"/>
  <c r="Q25" i="3"/>
  <c r="H23" i="3"/>
  <c r="P23" i="3"/>
  <c r="I24" i="3"/>
  <c r="Q24" i="3"/>
  <c r="J25" i="3"/>
  <c r="R25" i="3"/>
  <c r="F24" i="3"/>
  <c r="H24" i="3"/>
  <c r="I25" i="3"/>
  <c r="I23" i="3"/>
  <c r="Q23" i="3"/>
  <c r="J24" i="3"/>
  <c r="R24" i="3"/>
  <c r="K25" i="3"/>
  <c r="S25" i="3"/>
  <c r="P24" i="3"/>
  <c r="M11" i="3"/>
  <c r="F11" i="3"/>
  <c r="O11" i="3"/>
  <c r="H11" i="3"/>
  <c r="J5" i="3"/>
  <c r="R5" i="3"/>
  <c r="J9" i="3"/>
  <c r="R9" i="3"/>
  <c r="R12" i="3" s="1"/>
  <c r="K10" i="3"/>
  <c r="S10" i="3"/>
  <c r="L11" i="3"/>
  <c r="E12" i="3"/>
  <c r="N11" i="3"/>
  <c r="H10" i="3"/>
  <c r="P10" i="3"/>
  <c r="I11" i="3"/>
  <c r="Q11" i="3"/>
  <c r="J12" i="3"/>
  <c r="E11" i="3"/>
  <c r="G11" i="3"/>
  <c r="P11" i="3"/>
  <c r="H5" i="3"/>
  <c r="P5" i="3"/>
  <c r="I10" i="3"/>
  <c r="Q10" i="3"/>
  <c r="J11" i="3"/>
  <c r="R11" i="3"/>
  <c r="K12" i="3"/>
  <c r="S12" i="3"/>
  <c r="P102" i="1"/>
  <c r="P70" i="1"/>
  <c r="P103" i="1"/>
  <c r="G15" i="1"/>
  <c r="H70" i="1"/>
  <c r="S70" i="1"/>
  <c r="O70" i="1"/>
  <c r="S9" i="1"/>
  <c r="Q15" i="1"/>
  <c r="Q16" i="1" s="1"/>
  <c r="P20" i="1"/>
  <c r="I70" i="1"/>
  <c r="L9" i="1"/>
  <c r="L20" i="1" s="1"/>
  <c r="G27" i="1"/>
  <c r="H27" i="1"/>
  <c r="E67" i="1"/>
  <c r="E11" i="1" s="1"/>
  <c r="E12" i="1" s="1"/>
  <c r="L35" i="1"/>
  <c r="K9" i="1"/>
  <c r="U9" i="1" s="1"/>
  <c r="M32" i="1"/>
  <c r="E15" i="1"/>
  <c r="E16" i="1" s="1"/>
  <c r="N32" i="1"/>
  <c r="G18" i="3"/>
  <c r="I32" i="1"/>
  <c r="I27" i="1"/>
  <c r="J27" i="1"/>
  <c r="M15" i="1"/>
  <c r="M16" i="1" s="1"/>
  <c r="E27" i="1"/>
  <c r="L70" i="1"/>
  <c r="J35" i="1"/>
  <c r="G9" i="1"/>
  <c r="G12" i="1" s="1"/>
  <c r="G35" i="1"/>
  <c r="H9" i="1"/>
  <c r="H35" i="1"/>
  <c r="L15" i="1"/>
  <c r="I9" i="1"/>
  <c r="I35" i="1"/>
  <c r="K32" i="1"/>
  <c r="H32" i="1"/>
  <c r="E32" i="1"/>
  <c r="H42" i="3"/>
  <c r="H47" i="3" s="1"/>
  <c r="H49" i="3" s="1"/>
  <c r="F27" i="1"/>
  <c r="J32" i="1"/>
  <c r="G32" i="1"/>
  <c r="H15" i="1"/>
  <c r="M20" i="1"/>
  <c r="H18" i="3"/>
  <c r="K42" i="3"/>
  <c r="K47" i="3" s="1"/>
  <c r="I15" i="1"/>
  <c r="F32" i="1"/>
  <c r="K35" i="1"/>
  <c r="J18" i="3"/>
  <c r="L18" i="3"/>
  <c r="E18" i="3"/>
  <c r="M18" i="3"/>
  <c r="K18" i="3"/>
  <c r="J70" i="1"/>
  <c r="N70" i="1"/>
  <c r="J9" i="1"/>
  <c r="M70" i="1"/>
  <c r="E70" i="1"/>
  <c r="I18" i="3"/>
  <c r="L32" i="1"/>
  <c r="F70" i="1"/>
  <c r="E42" i="3"/>
  <c r="E47" i="3" s="1"/>
  <c r="E51" i="3" s="1"/>
  <c r="E10" i="1"/>
  <c r="J15" i="1"/>
  <c r="M35" i="1"/>
  <c r="K70" i="1"/>
  <c r="G70" i="1"/>
  <c r="F18" i="3"/>
  <c r="N18" i="3"/>
  <c r="K15" i="1"/>
  <c r="N35" i="1"/>
  <c r="M67" i="1"/>
  <c r="M11" i="1" s="1"/>
  <c r="M12" i="1" s="1"/>
  <c r="F16" i="1" l="1"/>
  <c r="R12" i="1"/>
  <c r="P10" i="1"/>
  <c r="R10" i="1"/>
  <c r="O10" i="1"/>
  <c r="O16" i="1"/>
  <c r="O12" i="1"/>
  <c r="R16" i="1"/>
  <c r="H107" i="1"/>
  <c r="H13" i="1" s="1"/>
  <c r="H14" i="1" s="1"/>
  <c r="Q108" i="1"/>
  <c r="Q17" i="1" s="1"/>
  <c r="Q18" i="1" s="1"/>
  <c r="N108" i="1"/>
  <c r="N17" i="1" s="1"/>
  <c r="S108" i="1"/>
  <c r="S17" i="1" s="1"/>
  <c r="S18" i="1" s="1"/>
  <c r="F10" i="1"/>
  <c r="F12" i="1"/>
  <c r="N10" i="1"/>
  <c r="F108" i="1"/>
  <c r="F17" i="1" s="1"/>
  <c r="F18" i="1" s="1"/>
  <c r="N107" i="1"/>
  <c r="N13" i="1" s="1"/>
  <c r="I29" i="3"/>
  <c r="I34" i="3" s="1"/>
  <c r="I35" i="3" s="1"/>
  <c r="M51" i="3"/>
  <c r="I16" i="1"/>
  <c r="Q107" i="1"/>
  <c r="Q13" i="1" s="1"/>
  <c r="Q14" i="1" s="1"/>
  <c r="K10" i="1"/>
  <c r="N39" i="1"/>
  <c r="K20" i="1"/>
  <c r="G20" i="1"/>
  <c r="L108" i="1"/>
  <c r="L17" i="1" s="1"/>
  <c r="L18" i="1" s="1"/>
  <c r="P39" i="1"/>
  <c r="O39" i="1"/>
  <c r="K12" i="1"/>
  <c r="L29" i="3"/>
  <c r="L34" i="3" s="1"/>
  <c r="L36" i="3" s="1"/>
  <c r="R108" i="1"/>
  <c r="R17" i="1" s="1"/>
  <c r="R18" i="1" s="1"/>
  <c r="N20" i="1"/>
  <c r="M39" i="1"/>
  <c r="K16" i="1"/>
  <c r="K14" i="1"/>
  <c r="Q39" i="1"/>
  <c r="N16" i="1"/>
  <c r="G10" i="1"/>
  <c r="M44" i="3"/>
  <c r="S39" i="1"/>
  <c r="J49" i="3"/>
  <c r="J51" i="3"/>
  <c r="L12" i="1"/>
  <c r="H16" i="1"/>
  <c r="U15" i="1"/>
  <c r="P12" i="1"/>
  <c r="U11" i="1"/>
  <c r="L10" i="1"/>
  <c r="M10" i="1"/>
  <c r="R39" i="1"/>
  <c r="H108" i="1"/>
  <c r="H17" i="1" s="1"/>
  <c r="L16" i="1"/>
  <c r="N12" i="1"/>
  <c r="J39" i="1"/>
  <c r="S16" i="1"/>
  <c r="E38" i="3"/>
  <c r="E31" i="3"/>
  <c r="E35" i="3"/>
  <c r="E36" i="3"/>
  <c r="F35" i="3"/>
  <c r="F38" i="3"/>
  <c r="F36" i="3"/>
  <c r="F31" i="3"/>
  <c r="G36" i="3"/>
  <c r="G38" i="3"/>
  <c r="G35" i="3"/>
  <c r="G31" i="3"/>
  <c r="H38" i="3"/>
  <c r="H35" i="3"/>
  <c r="J48" i="3"/>
  <c r="J44" i="3"/>
  <c r="E48" i="3"/>
  <c r="H48" i="3"/>
  <c r="H44" i="3"/>
  <c r="H51" i="3"/>
  <c r="J35" i="3"/>
  <c r="H31" i="3"/>
  <c r="E44" i="3"/>
  <c r="G108" i="1"/>
  <c r="G17" i="1" s="1"/>
  <c r="J31" i="3"/>
  <c r="E49" i="3"/>
  <c r="J38" i="3"/>
  <c r="L51" i="3"/>
  <c r="L48" i="3"/>
  <c r="L44" i="3"/>
  <c r="L49" i="3"/>
  <c r="U70" i="1"/>
  <c r="M49" i="3"/>
  <c r="K49" i="3"/>
  <c r="K44" i="3"/>
  <c r="K48" i="3"/>
  <c r="K29" i="3"/>
  <c r="K34" i="3" s="1"/>
  <c r="K51" i="3"/>
  <c r="D27" i="3"/>
  <c r="D58" i="3" s="1"/>
  <c r="P12" i="3"/>
  <c r="E19" i="3"/>
  <c r="E20" i="3"/>
  <c r="E7" i="3"/>
  <c r="E6" i="3"/>
  <c r="D14" i="3" s="1"/>
  <c r="D57" i="3" s="1"/>
  <c r="P107" i="1"/>
  <c r="P13" i="1" s="1"/>
  <c r="I38" i="1"/>
  <c r="S10" i="1"/>
  <c r="S20" i="1"/>
  <c r="S12" i="1"/>
  <c r="S107" i="1"/>
  <c r="S13" i="1" s="1"/>
  <c r="R107" i="1"/>
  <c r="R13" i="1" s="1"/>
  <c r="P108" i="1"/>
  <c r="P17" i="1" s="1"/>
  <c r="O29" i="3"/>
  <c r="O34" i="3" s="1"/>
  <c r="O108" i="1"/>
  <c r="O17" i="1" s="1"/>
  <c r="O107" i="1"/>
  <c r="O13" i="1" s="1"/>
  <c r="I39" i="1"/>
  <c r="K39" i="1"/>
  <c r="I10" i="1"/>
  <c r="K108" i="1"/>
  <c r="K17" i="1" s="1"/>
  <c r="K37" i="1" s="1"/>
  <c r="H10" i="1"/>
  <c r="I20" i="1"/>
  <c r="L107" i="1"/>
  <c r="L13" i="1" s="1"/>
  <c r="H39" i="1"/>
  <c r="H20" i="1"/>
  <c r="H12" i="1"/>
  <c r="I14" i="1"/>
  <c r="F39" i="1"/>
  <c r="G16" i="1"/>
  <c r="I12" i="1"/>
  <c r="J107" i="1"/>
  <c r="J13" i="1" s="1"/>
  <c r="J38" i="1" s="1"/>
  <c r="G39" i="1"/>
  <c r="E107" i="1"/>
  <c r="E13" i="1" s="1"/>
  <c r="E14" i="1" s="1"/>
  <c r="I42" i="3"/>
  <c r="I47" i="3" s="1"/>
  <c r="I108" i="1"/>
  <c r="I17" i="1" s="1"/>
  <c r="J10" i="1"/>
  <c r="J20" i="1"/>
  <c r="G42" i="3"/>
  <c r="G47" i="3" s="1"/>
  <c r="G107" i="1"/>
  <c r="G13" i="1" s="1"/>
  <c r="J12" i="1"/>
  <c r="M29" i="3"/>
  <c r="M34" i="3" s="1"/>
  <c r="M108" i="1"/>
  <c r="M17" i="1" s="1"/>
  <c r="N42" i="3"/>
  <c r="N47" i="3" s="1"/>
  <c r="L39" i="1"/>
  <c r="N29" i="3"/>
  <c r="N34" i="3" s="1"/>
  <c r="E108" i="1"/>
  <c r="E17" i="1" s="1"/>
  <c r="K38" i="1"/>
  <c r="M38" i="1"/>
  <c r="J16" i="1"/>
  <c r="F42" i="3"/>
  <c r="F47" i="3" s="1"/>
  <c r="F107" i="1"/>
  <c r="F13" i="1" s="1"/>
  <c r="J108" i="1"/>
  <c r="J17" i="1" s="1"/>
  <c r="O42" i="3"/>
  <c r="O47" i="3" s="1"/>
  <c r="H38" i="1" l="1"/>
  <c r="H37" i="1"/>
  <c r="I31" i="3"/>
  <c r="I36" i="3"/>
  <c r="L31" i="3"/>
  <c r="F37" i="1"/>
  <c r="Q37" i="1"/>
  <c r="I38" i="3"/>
  <c r="L38" i="3"/>
  <c r="Q38" i="1"/>
  <c r="L37" i="1"/>
  <c r="L35" i="3"/>
  <c r="G37" i="1"/>
  <c r="H18" i="1"/>
  <c r="G18" i="1"/>
  <c r="F48" i="3"/>
  <c r="F49" i="3"/>
  <c r="F44" i="3"/>
  <c r="F51" i="3"/>
  <c r="G48" i="3"/>
  <c r="G51" i="3"/>
  <c r="G49" i="3"/>
  <c r="G44" i="3"/>
  <c r="I48" i="3"/>
  <c r="I44" i="3"/>
  <c r="I49" i="3"/>
  <c r="I51" i="3"/>
  <c r="K31" i="3"/>
  <c r="K38" i="3"/>
  <c r="K35" i="3"/>
  <c r="K36" i="3"/>
  <c r="P14" i="1"/>
  <c r="U13" i="1"/>
  <c r="M38" i="3"/>
  <c r="M36" i="3"/>
  <c r="M35" i="3"/>
  <c r="M31" i="3"/>
  <c r="U17" i="1"/>
  <c r="O35" i="3"/>
  <c r="O38" i="3"/>
  <c r="O31" i="3"/>
  <c r="O36" i="3"/>
  <c r="O48" i="3"/>
  <c r="O49" i="3"/>
  <c r="O44" i="3"/>
  <c r="O51" i="3"/>
  <c r="N48" i="3"/>
  <c r="N51" i="3" s="1"/>
  <c r="N44" i="3"/>
  <c r="N49" i="3"/>
  <c r="K50" i="3"/>
  <c r="G50" i="3"/>
  <c r="Q50" i="3"/>
  <c r="S50" i="3"/>
  <c r="F50" i="3"/>
  <c r="E50" i="3"/>
  <c r="J50" i="3"/>
  <c r="M50" i="3"/>
  <c r="I50" i="3"/>
  <c r="R50" i="3"/>
  <c r="O50" i="3"/>
  <c r="H50" i="3"/>
  <c r="N50" i="3"/>
  <c r="L50" i="3"/>
  <c r="P50" i="3"/>
  <c r="N35" i="3"/>
  <c r="N38" i="3"/>
  <c r="N31" i="3"/>
  <c r="N36" i="3"/>
  <c r="Q37" i="3"/>
  <c r="O37" i="3"/>
  <c r="I37" i="3"/>
  <c r="N37" i="3"/>
  <c r="S37" i="3"/>
  <c r="P37" i="3"/>
  <c r="L37" i="3"/>
  <c r="E37" i="3"/>
  <c r="M37" i="3"/>
  <c r="D40" i="3"/>
  <c r="D59" i="3" s="1"/>
  <c r="F37" i="3"/>
  <c r="K37" i="3"/>
  <c r="H37" i="3"/>
  <c r="J37" i="3"/>
  <c r="G37" i="3"/>
  <c r="R37" i="3"/>
  <c r="J14" i="1"/>
  <c r="P38" i="1"/>
  <c r="S14" i="1"/>
  <c r="S38" i="1"/>
  <c r="S37" i="1"/>
  <c r="R14" i="1"/>
  <c r="R38" i="1"/>
  <c r="R37" i="1"/>
  <c r="P18" i="1"/>
  <c r="P37" i="1"/>
  <c r="O18" i="1"/>
  <c r="O37" i="1"/>
  <c r="O14" i="1"/>
  <c r="O38" i="1"/>
  <c r="K18" i="1"/>
  <c r="L14" i="1"/>
  <c r="L38" i="1"/>
  <c r="I18" i="1"/>
  <c r="I37" i="1"/>
  <c r="E38" i="1"/>
  <c r="N18" i="1"/>
  <c r="N37" i="1"/>
  <c r="E18" i="1"/>
  <c r="E37" i="1"/>
  <c r="G14" i="1"/>
  <c r="G38" i="1"/>
  <c r="J37" i="1"/>
  <c r="J18" i="1"/>
  <c r="F14" i="1"/>
  <c r="F38" i="1"/>
  <c r="M18" i="1"/>
  <c r="M37" i="1"/>
  <c r="N14" i="1"/>
  <c r="N38" i="1"/>
  <c r="E32" i="3" l="1"/>
  <c r="E33" i="3"/>
  <c r="E46" i="3"/>
  <c r="E45" i="3"/>
  <c r="D53" i="3" s="1"/>
  <c r="D60" i="3" s="1"/>
</calcChain>
</file>

<file path=xl/sharedStrings.xml><?xml version="1.0" encoding="utf-8"?>
<sst xmlns="http://schemas.openxmlformats.org/spreadsheetml/2006/main" count="279" uniqueCount="168">
  <si>
    <t>PLNm</t>
  </si>
  <si>
    <t>x</t>
  </si>
  <si>
    <t>Financials</t>
  </si>
  <si>
    <t>1. SUMMARY FINANCIALS</t>
  </si>
  <si>
    <t>Revenue</t>
  </si>
  <si>
    <t>Growth (%)</t>
  </si>
  <si>
    <t>Gross margin</t>
  </si>
  <si>
    <t>% of sales</t>
  </si>
  <si>
    <t>Adjusted EBITDA</t>
  </si>
  <si>
    <t>EBITDA</t>
  </si>
  <si>
    <t>Adjusted EBIT</t>
  </si>
  <si>
    <t>EBIT</t>
  </si>
  <si>
    <t>Total assets</t>
  </si>
  <si>
    <t>CAPEX</t>
  </si>
  <si>
    <t>Interest-bearing debt</t>
  </si>
  <si>
    <t>Cash &amp; cash equivalents</t>
  </si>
  <si>
    <t>Net debt</t>
  </si>
  <si>
    <t>Inventory</t>
  </si>
  <si>
    <t>Receivables</t>
  </si>
  <si>
    <t>Payables</t>
  </si>
  <si>
    <t>Trade working capital</t>
  </si>
  <si>
    <t>FTEs</t>
  </si>
  <si>
    <t>Cash conversion - EBIT-based</t>
  </si>
  <si>
    <t>Cash conversion - Capex-based</t>
  </si>
  <si>
    <t>Cash conversion - Capex &amp; WC based</t>
  </si>
  <si>
    <t>2. CONFIDENCE LEVEL</t>
  </si>
  <si>
    <t>Inputs and calculations</t>
  </si>
  <si>
    <t>Please check comment boxes for sources</t>
  </si>
  <si>
    <t>1. REPORTED FIGURES</t>
  </si>
  <si>
    <t>Net revenue</t>
  </si>
  <si>
    <t>Other income</t>
  </si>
  <si>
    <t>COGS</t>
  </si>
  <si>
    <t>Other COGS</t>
  </si>
  <si>
    <t>Reported EBIT</t>
  </si>
  <si>
    <t>Reported EBIT Check</t>
  </si>
  <si>
    <t>Total depreciation</t>
  </si>
  <si>
    <t>Total amortisation</t>
  </si>
  <si>
    <t>D&amp;A</t>
  </si>
  <si>
    <t>Fixed assets</t>
  </si>
  <si>
    <t>Current assets</t>
  </si>
  <si>
    <t>Stocks / inventories</t>
  </si>
  <si>
    <t>Trade debtors / receivables</t>
  </si>
  <si>
    <t>Trade creditors / payables</t>
  </si>
  <si>
    <t>Interest bearing debt / gross debt</t>
  </si>
  <si>
    <t>Cash and cash equivalents</t>
  </si>
  <si>
    <t>Investments in tangible assets</t>
  </si>
  <si>
    <t>Investments in intangible assets</t>
  </si>
  <si>
    <t>FTEs (or employees if n/a)</t>
  </si>
  <si>
    <t>YoY growth (%)</t>
  </si>
  <si>
    <t xml:space="preserve">2. ADJUSTMENTS </t>
  </si>
  <si>
    <t>Goodwill impairment</t>
  </si>
  <si>
    <t>Goodwill amortisation</t>
  </si>
  <si>
    <t>Non-recurring income</t>
  </si>
  <si>
    <t>Non-recurring expenses</t>
  </si>
  <si>
    <t>3. ADJUSTED FIGURES</t>
  </si>
  <si>
    <t>Scratchpad</t>
  </si>
  <si>
    <t>Credits and loans - LT</t>
  </si>
  <si>
    <t>Other financial liabilities - LT</t>
  </si>
  <si>
    <t>Leasing liabilities - LT</t>
  </si>
  <si>
    <t>Credits and loans - ST</t>
  </si>
  <si>
    <t>Other financial liabilities - ST</t>
  </si>
  <si>
    <t>Leasing liabilities - ST</t>
  </si>
  <si>
    <t>Total</t>
  </si>
  <si>
    <t>Title</t>
  </si>
  <si>
    <t>[Line 1]</t>
  </si>
  <si>
    <t>[Line 2]</t>
  </si>
  <si>
    <t>Annualisation</t>
  </si>
  <si>
    <t>Starting date</t>
  </si>
  <si>
    <t>Ending date</t>
  </si>
  <si>
    <t>Annualisation factor</t>
  </si>
  <si>
    <t>Footnote (copy on CMS)</t>
  </si>
  <si>
    <t>Segmentations</t>
  </si>
  <si>
    <t>Segmentation of</t>
  </si>
  <si>
    <t>Segmentation by</t>
  </si>
  <si>
    <t>First year</t>
  </si>
  <si>
    <t>Last year</t>
  </si>
  <si>
    <t>CAGR</t>
  </si>
  <si>
    <t>Year</t>
  </si>
  <si>
    <t>Min</t>
  </si>
  <si>
    <t>Max</t>
  </si>
  <si>
    <t>Test</t>
  </si>
  <si>
    <t>Format</t>
  </si>
  <si>
    <t>Unit</t>
  </si>
  <si>
    <t>Comma</t>
  </si>
  <si>
    <t>Text</t>
  </si>
  <si>
    <t>Concept</t>
  </si>
  <si>
    <t>Footnotes</t>
  </si>
  <si>
    <t>Relating to…</t>
  </si>
  <si>
    <t>Currency</t>
  </si>
  <si>
    <t>Do not overwrite</t>
  </si>
  <si>
    <t>name</t>
  </si>
  <si>
    <t>title</t>
  </si>
  <si>
    <t>to_eur</t>
  </si>
  <si>
    <t>EUR</t>
  </si>
  <si>
    <t>Euro</t>
  </si>
  <si>
    <t>USD</t>
  </si>
  <si>
    <t>United States Dollar</t>
  </si>
  <si>
    <t>GBP</t>
  </si>
  <si>
    <t>Great British Pound</t>
  </si>
  <si>
    <t>JPY</t>
  </si>
  <si>
    <t>Japanese yen</t>
  </si>
  <si>
    <t>CAD</t>
  </si>
  <si>
    <t>Canadian dollar</t>
  </si>
  <si>
    <t>RMB</t>
  </si>
  <si>
    <t>Chinese renminbi</t>
  </si>
  <si>
    <t>SEK</t>
  </si>
  <si>
    <t>Swedish krona</t>
  </si>
  <si>
    <t>NZD</t>
  </si>
  <si>
    <t>New Zealand dollar</t>
  </si>
  <si>
    <t>CHF</t>
  </si>
  <si>
    <t>Swiss Franc</t>
  </si>
  <si>
    <t>AUD</t>
  </si>
  <si>
    <t>Australian Dollar</t>
  </si>
  <si>
    <t>DKK</t>
  </si>
  <si>
    <t>Danish Krone</t>
  </si>
  <si>
    <t>NOK</t>
  </si>
  <si>
    <t>Norwegian krone</t>
  </si>
  <si>
    <t>PLN</t>
  </si>
  <si>
    <t>Polish Zloty</t>
  </si>
  <si>
    <t>CZK</t>
  </si>
  <si>
    <t>Czech Koruna</t>
  </si>
  <si>
    <t>HRK</t>
  </si>
  <si>
    <t>Croatian Kuna</t>
  </si>
  <si>
    <t>TRY</t>
  </si>
  <si>
    <t>Turkish Lira</t>
  </si>
  <si>
    <t>BGN</t>
  </si>
  <si>
    <t>Bulgarian Lev</t>
  </si>
  <si>
    <t>HUF</t>
  </si>
  <si>
    <t>Hungarian Forint</t>
  </si>
  <si>
    <t>ISK</t>
  </si>
  <si>
    <t>Icelandic Krona</t>
  </si>
  <si>
    <t>RON</t>
  </si>
  <si>
    <t>Romanian Leu</t>
  </si>
  <si>
    <t>UAH</t>
  </si>
  <si>
    <t>Ukrainian Hryvnia</t>
  </si>
  <si>
    <t>Currency2</t>
  </si>
  <si>
    <t>Confidence level</t>
  </si>
  <si>
    <t>EURm</t>
  </si>
  <si>
    <t>€</t>
  </si>
  <si>
    <t>Actual</t>
  </si>
  <si>
    <t>GBPm</t>
  </si>
  <si>
    <t>£</t>
  </si>
  <si>
    <t>Estimate</t>
  </si>
  <si>
    <t>USDm</t>
  </si>
  <si>
    <t>$</t>
  </si>
  <si>
    <t>CHFm</t>
  </si>
  <si>
    <t>JPYm</t>
  </si>
  <si>
    <t>¥</t>
  </si>
  <si>
    <t>CADm</t>
  </si>
  <si>
    <t>RMBm</t>
  </si>
  <si>
    <t xml:space="preserve">	¥</t>
  </si>
  <si>
    <t>SEKm</t>
  </si>
  <si>
    <t>kr</t>
  </si>
  <si>
    <t>NZDm</t>
  </si>
  <si>
    <t>AUDm</t>
  </si>
  <si>
    <t>DKKm</t>
  </si>
  <si>
    <t>Kr.</t>
  </si>
  <si>
    <r>
      <rPr>
        <sz val="10"/>
        <color theme="1"/>
        <rFont val="Calibri"/>
        <family val="2"/>
      </rPr>
      <t>z</t>
    </r>
    <r>
      <rPr>
        <sz val="10"/>
        <color theme="1"/>
        <rFont val="Calibri"/>
        <family val="2"/>
      </rPr>
      <t>ł.</t>
    </r>
  </si>
  <si>
    <t>NOKm</t>
  </si>
  <si>
    <t>CZKm</t>
  </si>
  <si>
    <r>
      <rPr>
        <sz val="10"/>
        <color theme="1"/>
        <rFont val="Calibri"/>
        <family val="2"/>
      </rPr>
      <t>K</t>
    </r>
    <r>
      <rPr>
        <sz val="10"/>
        <color theme="1"/>
        <rFont val="Calibri"/>
        <family val="2"/>
      </rPr>
      <t>č</t>
    </r>
  </si>
  <si>
    <t>CKm</t>
  </si>
  <si>
    <t>kn</t>
  </si>
  <si>
    <t>RONm</t>
  </si>
  <si>
    <t>lei</t>
  </si>
  <si>
    <t>File format</t>
  </si>
  <si>
    <t>gain_pro_asset_excel_v2</t>
  </si>
  <si>
    <t>CAGR 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</si>
</sst>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00"/>
    <numFmt numFmtId="165" formatCode="#,##0.000;[Black]\(#,##0.000\)"/>
    <numFmt numFmtId="166" formatCode="0.0%;\(0.0\)%;\-"/>
    <numFmt numFmtId="167" formatCode="#,##0.0%;[Black]\(#,##0.0%\)"/>
    <numFmt numFmtId="168" formatCode="#,##0.000"/>
    <numFmt numFmtId="169" formatCode="#,##0%;[Black]\(#,##0%\)"/>
    <numFmt numFmtId="170" formatCode="#,##0;[Black]\(#,##0\)"/>
    <numFmt numFmtId="171" formatCode="0.0%"/>
    <numFmt numFmtId="172" formatCode="#,##0.000;\(#,##0.000\);\-"/>
    <numFmt numFmtId="173" formatCode="#,##0;\(#,##0\);\-"/>
    <numFmt numFmtId="174" formatCode="0.000;\(0.000\);\-"/>
    <numFmt numFmtId="175" formatCode="&quot;FN &quot;0"/>
  </numFmts>
  <fonts count="35">
    <font>
      <sz val="11"/>
      <color theme="1"/>
      <name val="Arial"/>
      <scheme val="minor"/>
    </font>
    <font>
      <sz val="10"/>
      <color theme="1"/>
      <name val="Muli"/>
    </font>
    <font>
      <b/>
      <sz val="10"/>
      <color theme="0"/>
      <name val="Muli"/>
    </font>
    <font>
      <b/>
      <sz val="10"/>
      <color rgb="FFFFFFFF"/>
      <name val="Arial"/>
      <family val="2"/>
    </font>
    <font>
      <sz val="10"/>
      <color theme="0"/>
      <name val="Muli"/>
    </font>
    <font>
      <b/>
      <sz val="10"/>
      <color theme="1"/>
      <name val="Muli"/>
    </font>
    <font>
      <b/>
      <i/>
      <sz val="10"/>
      <color theme="1"/>
      <name val="Muli"/>
    </font>
    <font>
      <i/>
      <sz val="10"/>
      <color theme="1"/>
      <name val="Muli"/>
    </font>
    <font>
      <sz val="10"/>
      <color rgb="FF000000"/>
      <name val="Muli"/>
    </font>
    <font>
      <i/>
      <sz val="10"/>
      <color theme="1"/>
      <name val="Arial"/>
      <family val="2"/>
    </font>
    <font>
      <sz val="10"/>
      <color rgb="FF4A86E8"/>
      <name val="Muli"/>
    </font>
    <font>
      <sz val="10"/>
      <color rgb="FF4A86E8"/>
      <name val="Arial"/>
      <family val="2"/>
    </font>
    <font>
      <b/>
      <sz val="10"/>
      <color rgb="FF4A86E8"/>
      <name val="Muli"/>
    </font>
    <font>
      <b/>
      <u/>
      <sz val="10"/>
      <color theme="1"/>
      <name val="Muli"/>
    </font>
    <font>
      <b/>
      <u/>
      <sz val="10"/>
      <color theme="1"/>
      <name val="Muli"/>
    </font>
    <font>
      <sz val="10"/>
      <color theme="1"/>
      <name val="Arial"/>
      <family val="2"/>
    </font>
    <font>
      <b/>
      <sz val="11"/>
      <color rgb="FF000000"/>
      <name val="Muli"/>
    </font>
    <font>
      <sz val="11"/>
      <name val="Arial"/>
      <family val="2"/>
    </font>
    <font>
      <b/>
      <sz val="10"/>
      <color theme="1"/>
      <name val="Arial"/>
      <family val="2"/>
    </font>
    <font>
      <b/>
      <sz val="10"/>
      <color rgb="FF2D48C5"/>
      <name val="Muli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rgb="FFC55A11"/>
      <name val="Muli"/>
    </font>
    <font>
      <sz val="10"/>
      <color rgb="FF1D1C1D"/>
      <name val="Muli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4A86E8"/>
      <name val="Arial"/>
      <family val="2"/>
    </font>
    <font>
      <sz val="10"/>
      <color theme="4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10"/>
      <color rgb="FF2D48C5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D48C5"/>
        <bgColor rgb="FF2D48C5"/>
      </patternFill>
    </fill>
    <fill>
      <patternFill patternType="solid">
        <fgColor rgb="FFF2F2F2"/>
        <bgColor rgb="FFF2F2F2"/>
      </patternFill>
    </fill>
    <fill>
      <patternFill patternType="solid">
        <fgColor rgb="FF8898A9"/>
        <bgColor rgb="FF8898A9"/>
      </patternFill>
    </fill>
    <fill>
      <patternFill patternType="solid">
        <fgColor rgb="FFC4CDEF"/>
        <bgColor rgb="FFC4CDEF"/>
      </patternFill>
    </fill>
    <fill>
      <patternFill patternType="solid">
        <fgColor rgb="FFEDEDED"/>
        <bgColor rgb="FFEDEDED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/>
    </xf>
    <xf numFmtId="165" fontId="5" fillId="5" borderId="1" xfId="0" applyNumberFormat="1" applyFont="1" applyFill="1" applyBorder="1" applyAlignment="1">
      <alignment horizontal="right" wrapText="1"/>
    </xf>
    <xf numFmtId="166" fontId="6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>
      <alignment horizontal="right" vertical="center" wrapText="1"/>
    </xf>
    <xf numFmtId="10" fontId="7" fillId="0" borderId="0" xfId="0" applyNumberFormat="1" applyFont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168" fontId="7" fillId="0" borderId="4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horizontal="left" vertical="center" readingOrder="1"/>
    </xf>
    <xf numFmtId="169" fontId="8" fillId="0" borderId="0" xfId="0" applyNumberFormat="1" applyFont="1" applyAlignment="1">
      <alignment horizontal="right" vertical="center" wrapText="1" readingOrder="1"/>
    </xf>
    <xf numFmtId="170" fontId="5" fillId="5" borderId="1" xfId="0" applyNumberFormat="1" applyFont="1" applyFill="1" applyBorder="1" applyAlignment="1">
      <alignment horizontal="right" wrapText="1"/>
    </xf>
    <xf numFmtId="171" fontId="7" fillId="0" borderId="0" xfId="0" applyNumberFormat="1" applyFont="1" applyAlignment="1">
      <alignment vertical="center"/>
    </xf>
    <xf numFmtId="0" fontId="8" fillId="0" borderId="3" xfId="0" applyFont="1" applyBorder="1" applyAlignment="1">
      <alignment horizontal="left" vertical="center" readingOrder="1"/>
    </xf>
    <xf numFmtId="169" fontId="8" fillId="0" borderId="4" xfId="0" applyNumberFormat="1" applyFont="1" applyBorder="1" applyAlignment="1">
      <alignment horizontal="right" vertical="center" wrapText="1" readingOrder="1"/>
    </xf>
    <xf numFmtId="165" fontId="7" fillId="5" borderId="1" xfId="0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165" fontId="9" fillId="5" borderId="1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" fillId="0" borderId="0" xfId="0" applyFont="1"/>
    <xf numFmtId="0" fontId="1" fillId="6" borderId="1" xfId="0" applyFont="1" applyFill="1" applyBorder="1" applyAlignment="1">
      <alignment wrapText="1"/>
    </xf>
    <xf numFmtId="0" fontId="5" fillId="0" borderId="0" xfId="0" applyFont="1" applyAlignment="1">
      <alignment vertical="center"/>
    </xf>
    <xf numFmtId="172" fontId="11" fillId="6" borderId="1" xfId="0" applyNumberFormat="1" applyFont="1" applyFill="1" applyBorder="1" applyAlignment="1">
      <alignment horizontal="right" wrapText="1"/>
    </xf>
    <xf numFmtId="0" fontId="1" fillId="7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8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9" borderId="1" xfId="0" applyFont="1" applyFill="1" applyBorder="1" applyAlignment="1">
      <alignment vertical="center"/>
    </xf>
    <xf numFmtId="0" fontId="1" fillId="7" borderId="1" xfId="0" applyFont="1" applyFill="1" applyBorder="1"/>
    <xf numFmtId="0" fontId="1" fillId="6" borderId="1" xfId="0" applyFont="1" applyFill="1" applyBorder="1"/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/>
    </xf>
    <xf numFmtId="0" fontId="1" fillId="8" borderId="1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wrapText="1"/>
    </xf>
    <xf numFmtId="0" fontId="15" fillId="8" borderId="1" xfId="0" applyFont="1" applyFill="1" applyBorder="1" applyAlignment="1">
      <alignment wrapText="1"/>
    </xf>
    <xf numFmtId="0" fontId="16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0" fontId="18" fillId="3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vertical="top" wrapText="1"/>
    </xf>
    <xf numFmtId="164" fontId="12" fillId="3" borderId="1" xfId="0" applyNumberFormat="1" applyFont="1" applyFill="1" applyBorder="1" applyAlignment="1">
      <alignment horizontal="right" vertical="top"/>
    </xf>
    <xf numFmtId="171" fontId="1" fillId="0" borderId="0" xfId="0" applyNumberFormat="1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5" fillId="3" borderId="1" xfId="0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171" fontId="1" fillId="0" borderId="0" xfId="0" applyNumberFormat="1" applyFont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9" fillId="0" borderId="8" xfId="0" applyFont="1" applyBorder="1" applyAlignment="1">
      <alignment horizontal="center" vertical="center"/>
    </xf>
    <xf numFmtId="174" fontId="10" fillId="6" borderId="1" xfId="0" applyNumberFormat="1" applyFont="1" applyFill="1" applyBorder="1" applyAlignment="1">
      <alignment horizontal="right" vertical="center" wrapText="1"/>
    </xf>
    <xf numFmtId="175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8" xfId="0" applyFont="1" applyBorder="1" applyAlignment="1">
      <alignment vertical="center"/>
    </xf>
    <xf numFmtId="0" fontId="19" fillId="7" borderId="8" xfId="0" applyFont="1" applyFill="1" applyBorder="1" applyAlignment="1">
      <alignment horizontal="center" vertical="center"/>
    </xf>
    <xf numFmtId="175" fontId="1" fillId="0" borderId="0" xfId="0" applyNumberFormat="1" applyFont="1" applyAlignment="1">
      <alignment horizontal="left" vertical="center"/>
    </xf>
    <xf numFmtId="175" fontId="22" fillId="0" borderId="0" xfId="0" applyNumberFormat="1" applyFont="1" applyAlignment="1">
      <alignment vertical="center"/>
    </xf>
    <xf numFmtId="0" fontId="1" fillId="10" borderId="12" xfId="0" applyFont="1" applyFill="1" applyBorder="1" applyAlignment="1">
      <alignment vertical="center"/>
    </xf>
    <xf numFmtId="0" fontId="1" fillId="10" borderId="13" xfId="0" applyFont="1" applyFill="1" applyBorder="1" applyAlignment="1">
      <alignment vertical="center"/>
    </xf>
    <xf numFmtId="0" fontId="1" fillId="10" borderId="14" xfId="0" applyFont="1" applyFill="1" applyBorder="1" applyAlignment="1">
      <alignment vertical="center"/>
    </xf>
    <xf numFmtId="0" fontId="23" fillId="0" borderId="9" xfId="0" applyFont="1" applyBorder="1"/>
    <xf numFmtId="0" fontId="24" fillId="0" borderId="0" xfId="0" applyFont="1"/>
    <xf numFmtId="0" fontId="20" fillId="0" borderId="0" xfId="0" applyFont="1"/>
    <xf numFmtId="0" fontId="20" fillId="6" borderId="1" xfId="0" applyFont="1" applyFill="1" applyBorder="1"/>
    <xf numFmtId="0" fontId="4" fillId="2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174" fontId="10" fillId="6" borderId="7" xfId="0" applyNumberFormat="1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11" fontId="15" fillId="0" borderId="13" xfId="0" applyNumberFormat="1" applyFont="1" applyBorder="1" applyAlignment="1">
      <alignment vertical="center"/>
    </xf>
    <xf numFmtId="11" fontId="15" fillId="0" borderId="15" xfId="0" applyNumberFormat="1" applyFont="1" applyBorder="1" applyAlignment="1">
      <alignment vertical="center"/>
    </xf>
    <xf numFmtId="0" fontId="15" fillId="0" borderId="0" xfId="0" applyFont="1"/>
    <xf numFmtId="166" fontId="26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 wrapText="1"/>
    </xf>
    <xf numFmtId="172" fontId="18" fillId="0" borderId="0" xfId="0" applyNumberFormat="1" applyFont="1" applyAlignment="1">
      <alignment horizontal="right" wrapText="1"/>
    </xf>
    <xf numFmtId="172" fontId="18" fillId="0" borderId="0" xfId="0" applyNumberFormat="1" applyFont="1" applyAlignment="1">
      <alignment horizontal="right" vertical="center" wrapText="1"/>
    </xf>
    <xf numFmtId="166" fontId="9" fillId="0" borderId="0" xfId="0" applyNumberFormat="1" applyFont="1" applyAlignment="1">
      <alignment horizontal="center" wrapText="1"/>
    </xf>
    <xf numFmtId="172" fontId="15" fillId="0" borderId="0" xfId="0" applyNumberFormat="1" applyFont="1" applyAlignment="1">
      <alignment horizontal="right" wrapText="1"/>
    </xf>
    <xf numFmtId="172" fontId="11" fillId="0" borderId="0" xfId="0" applyNumberFormat="1" applyFont="1" applyAlignment="1">
      <alignment horizontal="right" wrapText="1"/>
    </xf>
    <xf numFmtId="172" fontId="27" fillId="9" borderId="1" xfId="0" applyNumberFormat="1" applyFont="1" applyFill="1" applyBorder="1" applyAlignment="1">
      <alignment horizontal="right" wrapText="1"/>
    </xf>
    <xf numFmtId="172" fontId="15" fillId="0" borderId="0" xfId="0" applyNumberFormat="1" applyFont="1" applyAlignment="1">
      <alignment vertical="center"/>
    </xf>
    <xf numFmtId="0" fontId="11" fillId="7" borderId="1" xfId="0" applyFont="1" applyFill="1" applyBorder="1" applyAlignment="1">
      <alignment horizontal="right" wrapText="1"/>
    </xf>
    <xf numFmtId="0" fontId="28" fillId="0" borderId="0" xfId="0" applyFont="1" applyAlignment="1">
      <alignment horizontal="right" wrapText="1"/>
    </xf>
    <xf numFmtId="172" fontId="28" fillId="0" borderId="0" xfId="0" applyNumberFormat="1" applyFont="1" applyAlignment="1">
      <alignment horizontal="right" vertical="center" wrapText="1"/>
    </xf>
    <xf numFmtId="0" fontId="28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/>
    </xf>
    <xf numFmtId="172" fontId="29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173" fontId="11" fillId="6" borderId="1" xfId="0" applyNumberFormat="1" applyFont="1" applyFill="1" applyBorder="1" applyAlignment="1">
      <alignment horizontal="right" wrapText="1"/>
    </xf>
    <xf numFmtId="173" fontId="11" fillId="6" borderId="1" xfId="0" applyNumberFormat="1" applyFont="1" applyFill="1" applyBorder="1"/>
    <xf numFmtId="9" fontId="9" fillId="0" borderId="0" xfId="0" applyNumberFormat="1" applyFont="1" applyAlignment="1">
      <alignment vertical="center"/>
    </xf>
    <xf numFmtId="0" fontId="30" fillId="4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 wrapText="1"/>
    </xf>
    <xf numFmtId="172" fontId="15" fillId="6" borderId="1" xfId="0" applyNumberFormat="1" applyFont="1" applyFill="1" applyBorder="1" applyAlignment="1">
      <alignment horizontal="right" wrapText="1"/>
    </xf>
    <xf numFmtId="166" fontId="15" fillId="0" borderId="0" xfId="0" applyNumberFormat="1" applyFont="1" applyAlignment="1">
      <alignment horizontal="center" vertical="center"/>
    </xf>
    <xf numFmtId="0" fontId="31" fillId="2" borderId="1" xfId="0" applyFont="1" applyFill="1" applyBorder="1" applyAlignment="1">
      <alignment vertical="center"/>
    </xf>
    <xf numFmtId="0" fontId="30" fillId="2" borderId="1" xfId="0" applyFont="1" applyFill="1" applyBorder="1" applyAlignment="1">
      <alignment horizontal="right" vertical="center"/>
    </xf>
    <xf numFmtId="0" fontId="31" fillId="3" borderId="1" xfId="0" applyFont="1" applyFill="1" applyBorder="1" applyAlignment="1">
      <alignment horizontal="right" vertical="center"/>
    </xf>
    <xf numFmtId="0" fontId="31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74" fontId="11" fillId="0" borderId="0" xfId="0" applyNumberFormat="1" applyFont="1" applyAlignment="1">
      <alignment vertical="center"/>
    </xf>
    <xf numFmtId="172" fontId="32" fillId="0" borderId="0" xfId="0" applyNumberFormat="1" applyFont="1" applyAlignment="1">
      <alignment horizontal="right" wrapText="1"/>
    </xf>
    <xf numFmtId="14" fontId="15" fillId="0" borderId="0" xfId="0" applyNumberFormat="1" applyFont="1" applyAlignment="1">
      <alignment vertical="center"/>
    </xf>
    <xf numFmtId="14" fontId="33" fillId="0" borderId="0" xfId="0" applyNumberFormat="1" applyFont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164" fontId="15" fillId="0" borderId="0" xfId="0" applyNumberFormat="1" applyFont="1" applyAlignment="1">
      <alignment horizontal="left" vertical="center"/>
    </xf>
    <xf numFmtId="0" fontId="25" fillId="0" borderId="0" xfId="0" applyFont="1"/>
    <xf numFmtId="166" fontId="7" fillId="0" borderId="0" xfId="0" applyNumberFormat="1" applyFont="1" applyAlignment="1">
      <alignment horizontal="center" vertical="center" wrapText="1"/>
    </xf>
    <xf numFmtId="171" fontId="9" fillId="0" borderId="0" xfId="0" applyNumberFormat="1" applyFont="1" applyAlignment="1">
      <alignment horizontal="center" vertical="center" wrapText="1"/>
    </xf>
    <xf numFmtId="172" fontId="34" fillId="6" borderId="1" xfId="0" applyNumberFormat="1" applyFont="1" applyFill="1" applyBorder="1" applyAlignment="1">
      <alignment horizontal="right" wrapText="1"/>
    </xf>
    <xf numFmtId="164" fontId="12" fillId="3" borderId="1" xfId="0" applyNumberFormat="1" applyFont="1" applyFill="1" applyBorder="1" applyAlignment="1">
      <alignment horizontal="right" vertical="top" wrapText="1"/>
    </xf>
    <xf numFmtId="164" fontId="12" fillId="3" borderId="1" xfId="0" applyNumberFormat="1" applyFont="1" applyFill="1" applyBorder="1" applyAlignment="1">
      <alignment horizontal="righ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17" fillId="0" borderId="7" xfId="0" applyFont="1" applyBorder="1"/>
  </cellXfs>
  <cellStyles count="1">
    <cellStyle name="Normal" xfId="0" builtinId="0"/>
  </cellStyles>
  <dxfs count="1">
    <dxf>
      <font>
        <color rgb="FF2ECBAB"/>
      </font>
      <fill>
        <patternFill patternType="solid">
          <fgColor rgb="FFC4CDEF"/>
          <bgColor rgb="FFC4CD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9"/>
  <sheetViews>
    <sheetView showGridLines="0" tabSelected="1" zoomScale="85" zoomScaleNormal="85" workbookViewId="0">
      <pane xSplit="4" ySplit="2" topLeftCell="L3" activePane="bottomRight" state="frozen"/>
      <selection pane="topRight" activeCell="E1" sqref="E1"/>
      <selection pane="bottomLeft" activeCell="A3" sqref="A3"/>
      <selection pane="bottomRight"/>
    </sheetView>
  </sheetViews>
  <sheetFormatPr baseColWidth="10" defaultColWidth="12.6640625" defaultRowHeight="15" customHeight="1" outlineLevelRow="2" outlineLevelCol="1"/>
  <cols>
    <col min="1" max="1" width="3.1640625" customWidth="1"/>
    <col min="2" max="3" width="1.6640625" customWidth="1"/>
    <col min="4" max="4" width="47.1640625" customWidth="1"/>
    <col min="5" max="9" width="13" hidden="1" customWidth="1" outlineLevel="1"/>
    <col min="10" max="11" width="13" hidden="1" customWidth="1" outlineLevel="1" collapsed="1"/>
    <col min="12" max="12" width="13" customWidth="1" collapsed="1"/>
    <col min="13" max="16" width="13" customWidth="1"/>
    <col min="17" max="19" width="13" hidden="1" customWidth="1" outlineLevel="1"/>
    <col min="20" max="20" width="4.1640625" customWidth="1" collapsed="1"/>
    <col min="21" max="23" width="15.6640625" customWidth="1"/>
    <col min="24" max="24" width="10" customWidth="1"/>
    <col min="25" max="27" width="8" customWidth="1"/>
    <col min="28" max="28" width="15.1640625" customWidth="1"/>
    <col min="29" max="29" width="10" customWidth="1"/>
    <col min="30" max="32" width="8" customWidth="1"/>
    <col min="33" max="33" width="15.1640625" customWidth="1"/>
    <col min="34" max="34" width="10" customWidth="1"/>
    <col min="35" max="38" width="8" customWidth="1"/>
  </cols>
  <sheetData>
    <row r="1" spans="1:38" ht="1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" customHeight="1">
      <c r="A2" s="1"/>
      <c r="B2" s="4"/>
      <c r="C2" s="4"/>
      <c r="D2" s="5" t="s">
        <v>0</v>
      </c>
      <c r="E2" s="4">
        <v>2013</v>
      </c>
      <c r="F2" s="6">
        <v>2014</v>
      </c>
      <c r="G2" s="6">
        <v>2015</v>
      </c>
      <c r="H2" s="6">
        <v>2016</v>
      </c>
      <c r="I2" s="6">
        <v>2017</v>
      </c>
      <c r="J2" s="6">
        <v>2018</v>
      </c>
      <c r="K2" s="6">
        <v>2019</v>
      </c>
      <c r="L2" s="6">
        <v>2020</v>
      </c>
      <c r="M2" s="6">
        <v>2021</v>
      </c>
      <c r="N2" s="6">
        <v>2022</v>
      </c>
      <c r="O2" s="6">
        <v>2023</v>
      </c>
      <c r="P2" s="6">
        <v>2024</v>
      </c>
      <c r="Q2" s="6">
        <v>2025</v>
      </c>
      <c r="R2" s="6">
        <v>2026</v>
      </c>
      <c r="S2" s="6">
        <v>2027</v>
      </c>
      <c r="T2" s="7"/>
      <c r="U2" s="8" t="s">
        <v>167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15" customHeight="1">
      <c r="A3" s="1"/>
      <c r="B3" s="9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3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15" customHeight="1">
      <c r="A6" s="1"/>
      <c r="B6" s="4" t="s">
        <v>2</v>
      </c>
      <c r="C6" s="4"/>
      <c r="D6" s="4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90"/>
      <c r="Q6" s="90"/>
      <c r="R6" s="90"/>
      <c r="S6" s="90"/>
      <c r="T6" s="7"/>
      <c r="U6" s="1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2"/>
    </row>
    <row r="7" spans="1:38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5" customHeight="1">
      <c r="A8" s="1"/>
      <c r="B8" s="1"/>
      <c r="C8" s="13" t="s">
        <v>3</v>
      </c>
      <c r="D8" s="13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91"/>
      <c r="Q8" s="91"/>
      <c r="R8" s="91"/>
      <c r="S8" s="91"/>
      <c r="T8" s="7"/>
      <c r="U8" s="15"/>
      <c r="V8" s="12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2"/>
    </row>
    <row r="9" spans="1:38" ht="15" customHeight="1">
      <c r="A9" s="1"/>
      <c r="B9" s="1"/>
      <c r="C9" s="1"/>
      <c r="D9" s="16" t="s">
        <v>4</v>
      </c>
      <c r="E9" s="17" t="str">
        <f t="shared" ref="E9:N9" si="0">+IF(E63=0,"",E63)</f>
        <v/>
      </c>
      <c r="F9" s="17" t="str">
        <f t="shared" si="0"/>
        <v/>
      </c>
      <c r="G9" s="17" t="str">
        <f t="shared" si="0"/>
        <v/>
      </c>
      <c r="H9" s="17" t="str">
        <f t="shared" si="0"/>
        <v/>
      </c>
      <c r="I9" s="17" t="str">
        <f t="shared" si="0"/>
        <v/>
      </c>
      <c r="J9" s="17" t="str">
        <f t="shared" si="0"/>
        <v/>
      </c>
      <c r="K9" s="17" t="str">
        <f t="shared" si="0"/>
        <v/>
      </c>
      <c r="L9" s="17" t="str">
        <f t="shared" si="0"/>
        <v/>
      </c>
      <c r="M9" s="17" t="str">
        <f t="shared" si="0"/>
        <v/>
      </c>
      <c r="N9" s="17" t="str">
        <f t="shared" si="0"/>
        <v/>
      </c>
      <c r="O9" s="17" t="str">
        <f t="shared" ref="O9:S9" si="1">+IF(O63=0,"",O63)</f>
        <v/>
      </c>
      <c r="P9" s="17" t="str">
        <f t="shared" si="1"/>
        <v/>
      </c>
      <c r="Q9" s="17" t="str">
        <f t="shared" si="1"/>
        <v/>
      </c>
      <c r="R9" s="17" t="str">
        <f t="shared" si="1"/>
        <v/>
      </c>
      <c r="S9" s="17" t="str">
        <f t="shared" si="1"/>
        <v/>
      </c>
      <c r="T9" s="1"/>
      <c r="U9" s="18" t="str">
        <f>IFERROR((P9/K9)^(1/(P$2-K$2))-1,"")</f>
        <v/>
      </c>
      <c r="V9" s="12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2"/>
    </row>
    <row r="10" spans="1:38" ht="15" customHeight="1">
      <c r="A10" s="1"/>
      <c r="B10" s="1"/>
      <c r="C10" s="1"/>
      <c r="D10" s="1" t="s">
        <v>5</v>
      </c>
      <c r="E10" s="19" t="str">
        <f t="shared" ref="E10:S10" si="2">+IFERROR(E9/D9-1,"")</f>
        <v/>
      </c>
      <c r="F10" s="19" t="str">
        <f t="shared" si="2"/>
        <v/>
      </c>
      <c r="G10" s="19" t="str">
        <f t="shared" si="2"/>
        <v/>
      </c>
      <c r="H10" s="19" t="str">
        <f t="shared" si="2"/>
        <v/>
      </c>
      <c r="I10" s="19" t="str">
        <f t="shared" si="2"/>
        <v/>
      </c>
      <c r="J10" s="19" t="str">
        <f t="shared" si="2"/>
        <v/>
      </c>
      <c r="K10" s="19" t="str">
        <f t="shared" si="2"/>
        <v/>
      </c>
      <c r="L10" s="19" t="str">
        <f t="shared" si="2"/>
        <v/>
      </c>
      <c r="M10" s="19" t="str">
        <f t="shared" si="2"/>
        <v/>
      </c>
      <c r="N10" s="19" t="str">
        <f t="shared" si="2"/>
        <v/>
      </c>
      <c r="O10" s="19" t="str">
        <f t="shared" si="2"/>
        <v/>
      </c>
      <c r="P10" s="19" t="str">
        <f t="shared" si="2"/>
        <v/>
      </c>
      <c r="Q10" s="19" t="str">
        <f t="shared" si="2"/>
        <v/>
      </c>
      <c r="R10" s="19" t="str">
        <f t="shared" si="2"/>
        <v/>
      </c>
      <c r="S10" s="19" t="str">
        <f t="shared" si="2"/>
        <v/>
      </c>
      <c r="T10" s="1"/>
      <c r="U10" s="20"/>
      <c r="V10" s="1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2"/>
    </row>
    <row r="11" spans="1:38" ht="15" customHeight="1">
      <c r="A11" s="1"/>
      <c r="B11" s="1"/>
      <c r="C11" s="1"/>
      <c r="D11" s="21" t="s">
        <v>6</v>
      </c>
      <c r="E11" s="17" t="str">
        <f t="shared" ref="E11:N11" si="3">+IF(E67=E63,"",E67)</f>
        <v/>
      </c>
      <c r="F11" s="17" t="str">
        <f t="shared" si="3"/>
        <v/>
      </c>
      <c r="G11" s="17" t="str">
        <f t="shared" si="3"/>
        <v/>
      </c>
      <c r="H11" s="17" t="str">
        <f t="shared" si="3"/>
        <v/>
      </c>
      <c r="I11" s="17" t="str">
        <f t="shared" si="3"/>
        <v/>
      </c>
      <c r="J11" s="17" t="str">
        <f t="shared" si="3"/>
        <v/>
      </c>
      <c r="K11" s="17" t="str">
        <f t="shared" si="3"/>
        <v/>
      </c>
      <c r="L11" s="17" t="str">
        <f t="shared" si="3"/>
        <v/>
      </c>
      <c r="M11" s="17" t="str">
        <f t="shared" si="3"/>
        <v/>
      </c>
      <c r="N11" s="17" t="str">
        <f t="shared" si="3"/>
        <v/>
      </c>
      <c r="O11" s="17" t="str">
        <f t="shared" ref="O11:S11" si="4">+IF(O67=O63,"",O67)</f>
        <v/>
      </c>
      <c r="P11" s="17" t="str">
        <f t="shared" si="4"/>
        <v/>
      </c>
      <c r="Q11" s="17" t="str">
        <f t="shared" si="4"/>
        <v/>
      </c>
      <c r="R11" s="17" t="str">
        <f t="shared" si="4"/>
        <v/>
      </c>
      <c r="S11" s="17" t="str">
        <f t="shared" si="4"/>
        <v/>
      </c>
      <c r="T11" s="1"/>
      <c r="U11" s="18" t="str">
        <f>IFERROR((P11/K11)^(1/(P$2-K$2))-1,"")</f>
        <v/>
      </c>
      <c r="V11" s="1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2"/>
    </row>
    <row r="12" spans="1:38" ht="15" customHeight="1">
      <c r="A12" s="1"/>
      <c r="B12" s="1"/>
      <c r="C12" s="1"/>
      <c r="D12" s="1" t="s">
        <v>7</v>
      </c>
      <c r="E12" s="19" t="str">
        <f t="shared" ref="E12:N12" si="5">+IFERROR(E11/E$9,"")</f>
        <v/>
      </c>
      <c r="F12" s="19" t="str">
        <f t="shared" si="5"/>
        <v/>
      </c>
      <c r="G12" s="19" t="str">
        <f t="shared" si="5"/>
        <v/>
      </c>
      <c r="H12" s="19" t="str">
        <f t="shared" si="5"/>
        <v/>
      </c>
      <c r="I12" s="19" t="str">
        <f t="shared" si="5"/>
        <v/>
      </c>
      <c r="J12" s="19" t="str">
        <f t="shared" si="5"/>
        <v/>
      </c>
      <c r="K12" s="19" t="str">
        <f t="shared" si="5"/>
        <v/>
      </c>
      <c r="L12" s="19" t="str">
        <f t="shared" si="5"/>
        <v/>
      </c>
      <c r="M12" s="19" t="str">
        <f t="shared" si="5"/>
        <v/>
      </c>
      <c r="N12" s="19" t="str">
        <f t="shared" si="5"/>
        <v/>
      </c>
      <c r="O12" s="19" t="str">
        <f t="shared" ref="O12:S12" si="6">+IFERROR(O11/O$9,"")</f>
        <v/>
      </c>
      <c r="P12" s="19" t="str">
        <f t="shared" si="6"/>
        <v/>
      </c>
      <c r="Q12" s="19" t="str">
        <f t="shared" si="6"/>
        <v/>
      </c>
      <c r="R12" s="19" t="str">
        <f t="shared" si="6"/>
        <v/>
      </c>
      <c r="S12" s="19" t="str">
        <f t="shared" si="6"/>
        <v/>
      </c>
      <c r="T12" s="1"/>
      <c r="U12" s="20"/>
      <c r="V12" s="1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2"/>
    </row>
    <row r="13" spans="1:38" ht="15" customHeight="1">
      <c r="A13" s="1"/>
      <c r="B13" s="1"/>
      <c r="C13" s="1"/>
      <c r="D13" s="21" t="s">
        <v>8</v>
      </c>
      <c r="E13" s="17" t="str">
        <f t="shared" ref="E13:N13" si="7">+IF(E107-E76=0,"",E107)</f>
        <v/>
      </c>
      <c r="F13" s="17" t="str">
        <f t="shared" si="7"/>
        <v/>
      </c>
      <c r="G13" s="17" t="str">
        <f t="shared" si="7"/>
        <v/>
      </c>
      <c r="H13" s="17" t="str">
        <f t="shared" si="7"/>
        <v/>
      </c>
      <c r="I13" s="17" t="str">
        <f t="shared" si="7"/>
        <v/>
      </c>
      <c r="J13" s="17" t="str">
        <f t="shared" si="7"/>
        <v/>
      </c>
      <c r="K13" s="17" t="str">
        <f t="shared" si="7"/>
        <v/>
      </c>
      <c r="L13" s="17" t="str">
        <f t="shared" si="7"/>
        <v/>
      </c>
      <c r="M13" s="17" t="str">
        <f t="shared" si="7"/>
        <v/>
      </c>
      <c r="N13" s="17" t="str">
        <f t="shared" si="7"/>
        <v/>
      </c>
      <c r="O13" s="17" t="str">
        <f t="shared" ref="O13:S13" si="8">+IF(O107-O76=0,"",O107)</f>
        <v/>
      </c>
      <c r="P13" s="17" t="str">
        <f t="shared" si="8"/>
        <v/>
      </c>
      <c r="Q13" s="17" t="str">
        <f t="shared" si="8"/>
        <v/>
      </c>
      <c r="R13" s="17" t="str">
        <f t="shared" si="8"/>
        <v/>
      </c>
      <c r="S13" s="17" t="str">
        <f t="shared" si="8"/>
        <v/>
      </c>
      <c r="T13" s="1"/>
      <c r="U13" s="18" t="str">
        <f>IFERROR((P13/K13)^(1/(P$2-K$2))-1,"")</f>
        <v/>
      </c>
      <c r="V13" s="1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2"/>
    </row>
    <row r="14" spans="1:38" ht="15" customHeight="1">
      <c r="A14" s="1"/>
      <c r="B14" s="1"/>
      <c r="C14" s="1"/>
      <c r="D14" s="1" t="s">
        <v>7</v>
      </c>
      <c r="E14" s="19" t="str">
        <f t="shared" ref="E14:N14" si="9">+IFERROR(E13/E$9,"")</f>
        <v/>
      </c>
      <c r="F14" s="19" t="str">
        <f t="shared" si="9"/>
        <v/>
      </c>
      <c r="G14" s="19" t="str">
        <f t="shared" si="9"/>
        <v/>
      </c>
      <c r="H14" s="19" t="str">
        <f t="shared" si="9"/>
        <v/>
      </c>
      <c r="I14" s="19" t="str">
        <f t="shared" si="9"/>
        <v/>
      </c>
      <c r="J14" s="19" t="str">
        <f t="shared" si="9"/>
        <v/>
      </c>
      <c r="K14" s="19" t="str">
        <f t="shared" si="9"/>
        <v/>
      </c>
      <c r="L14" s="19" t="str">
        <f t="shared" si="9"/>
        <v/>
      </c>
      <c r="M14" s="19" t="str">
        <f t="shared" si="9"/>
        <v/>
      </c>
      <c r="N14" s="19" t="str">
        <f t="shared" si="9"/>
        <v/>
      </c>
      <c r="O14" s="19" t="str">
        <f t="shared" ref="O14:S14" si="10">+IFERROR(O13/O$9,"")</f>
        <v/>
      </c>
      <c r="P14" s="19" t="str">
        <f t="shared" si="10"/>
        <v/>
      </c>
      <c r="Q14" s="19" t="str">
        <f t="shared" si="10"/>
        <v/>
      </c>
      <c r="R14" s="19" t="str">
        <f t="shared" si="10"/>
        <v/>
      </c>
      <c r="S14" s="19" t="str">
        <f t="shared" si="10"/>
        <v/>
      </c>
      <c r="T14" s="1"/>
      <c r="U14" s="20"/>
      <c r="V14" s="1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2"/>
    </row>
    <row r="15" spans="1:38" ht="15" customHeight="1">
      <c r="A15" s="1"/>
      <c r="B15" s="1"/>
      <c r="C15" s="1"/>
      <c r="D15" s="21" t="s">
        <v>9</v>
      </c>
      <c r="E15" s="17" t="str">
        <f t="shared" ref="E15:N15" si="11">+IF(E76=0,"",E76)</f>
        <v/>
      </c>
      <c r="F15" s="17" t="str">
        <f t="shared" si="11"/>
        <v/>
      </c>
      <c r="G15" s="17" t="str">
        <f t="shared" si="11"/>
        <v/>
      </c>
      <c r="H15" s="17" t="str">
        <f t="shared" si="11"/>
        <v/>
      </c>
      <c r="I15" s="17" t="str">
        <f t="shared" si="11"/>
        <v/>
      </c>
      <c r="J15" s="17" t="str">
        <f t="shared" si="11"/>
        <v/>
      </c>
      <c r="K15" s="17" t="str">
        <f t="shared" si="11"/>
        <v/>
      </c>
      <c r="L15" s="17" t="str">
        <f t="shared" si="11"/>
        <v/>
      </c>
      <c r="M15" s="17" t="str">
        <f t="shared" si="11"/>
        <v/>
      </c>
      <c r="N15" s="17" t="str">
        <f t="shared" si="11"/>
        <v/>
      </c>
      <c r="O15" s="17" t="str">
        <f t="shared" ref="O15:S15" si="12">+IF(O76=0,"",O76)</f>
        <v/>
      </c>
      <c r="P15" s="17" t="str">
        <f t="shared" si="12"/>
        <v/>
      </c>
      <c r="Q15" s="17" t="str">
        <f t="shared" si="12"/>
        <v/>
      </c>
      <c r="R15" s="17" t="str">
        <f t="shared" si="12"/>
        <v/>
      </c>
      <c r="S15" s="17" t="str">
        <f t="shared" si="12"/>
        <v/>
      </c>
      <c r="T15" s="1"/>
      <c r="U15" s="18" t="str">
        <f>IFERROR((P15/K15)^(1/(P$2-K$2))-1,"")</f>
        <v/>
      </c>
      <c r="V15" s="1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2"/>
    </row>
    <row r="16" spans="1:38" ht="15" customHeight="1">
      <c r="A16" s="1"/>
      <c r="B16" s="1"/>
      <c r="C16" s="1"/>
      <c r="D16" s="1" t="s">
        <v>7</v>
      </c>
      <c r="E16" s="19" t="str">
        <f t="shared" ref="E16:N16" si="13">+IFERROR(E15/E$9,"")</f>
        <v/>
      </c>
      <c r="F16" s="19" t="str">
        <f t="shared" si="13"/>
        <v/>
      </c>
      <c r="G16" s="19" t="str">
        <f t="shared" si="13"/>
        <v/>
      </c>
      <c r="H16" s="19" t="str">
        <f t="shared" si="13"/>
        <v/>
      </c>
      <c r="I16" s="19" t="str">
        <f t="shared" si="13"/>
        <v/>
      </c>
      <c r="J16" s="19" t="str">
        <f t="shared" si="13"/>
        <v/>
      </c>
      <c r="K16" s="19" t="str">
        <f t="shared" si="13"/>
        <v/>
      </c>
      <c r="L16" s="19" t="str">
        <f t="shared" si="13"/>
        <v/>
      </c>
      <c r="M16" s="19" t="str">
        <f t="shared" si="13"/>
        <v/>
      </c>
      <c r="N16" s="19" t="str">
        <f t="shared" si="13"/>
        <v/>
      </c>
      <c r="O16" s="19" t="str">
        <f t="shared" ref="O16:S16" si="14">+IFERROR(O15/O$9,"")</f>
        <v/>
      </c>
      <c r="P16" s="19" t="str">
        <f t="shared" si="14"/>
        <v/>
      </c>
      <c r="Q16" s="19" t="str">
        <f t="shared" si="14"/>
        <v/>
      </c>
      <c r="R16" s="19" t="str">
        <f t="shared" si="14"/>
        <v/>
      </c>
      <c r="S16" s="19" t="str">
        <f t="shared" si="14"/>
        <v/>
      </c>
      <c r="T16" s="1"/>
      <c r="U16" s="20"/>
      <c r="V16" s="1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2"/>
    </row>
    <row r="17" spans="1:38" ht="15" customHeight="1">
      <c r="A17" s="1"/>
      <c r="B17" s="1"/>
      <c r="C17" s="1"/>
      <c r="D17" s="21" t="s">
        <v>10</v>
      </c>
      <c r="E17" s="17" t="str">
        <f t="shared" ref="E17:N17" si="15">+IF(E108-E69=0,"",E108)</f>
        <v/>
      </c>
      <c r="F17" s="17" t="str">
        <f t="shared" si="15"/>
        <v/>
      </c>
      <c r="G17" s="17" t="str">
        <f t="shared" si="15"/>
        <v/>
      </c>
      <c r="H17" s="17" t="str">
        <f t="shared" si="15"/>
        <v/>
      </c>
      <c r="I17" s="17" t="str">
        <f t="shared" si="15"/>
        <v/>
      </c>
      <c r="J17" s="17" t="str">
        <f t="shared" si="15"/>
        <v/>
      </c>
      <c r="K17" s="17" t="str">
        <f t="shared" si="15"/>
        <v/>
      </c>
      <c r="L17" s="17" t="str">
        <f t="shared" si="15"/>
        <v/>
      </c>
      <c r="M17" s="17" t="str">
        <f t="shared" si="15"/>
        <v/>
      </c>
      <c r="N17" s="17" t="str">
        <f t="shared" si="15"/>
        <v/>
      </c>
      <c r="O17" s="17" t="str">
        <f t="shared" ref="O17:S17" si="16">+IF(O108-O69=0,"",O108)</f>
        <v/>
      </c>
      <c r="P17" s="17" t="str">
        <f t="shared" si="16"/>
        <v/>
      </c>
      <c r="Q17" s="17" t="str">
        <f t="shared" si="16"/>
        <v/>
      </c>
      <c r="R17" s="17" t="str">
        <f t="shared" si="16"/>
        <v/>
      </c>
      <c r="S17" s="17" t="str">
        <f t="shared" si="16"/>
        <v/>
      </c>
      <c r="T17" s="1"/>
      <c r="U17" s="18" t="str">
        <f>IFERROR((P17/K17)^(1/(P$2-K$2))-1,"")</f>
        <v/>
      </c>
      <c r="V17" s="12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2"/>
    </row>
    <row r="18" spans="1:38" ht="15" customHeight="1">
      <c r="A18" s="1"/>
      <c r="B18" s="1"/>
      <c r="C18" s="1"/>
      <c r="D18" s="1" t="s">
        <v>7</v>
      </c>
      <c r="E18" s="19" t="str">
        <f t="shared" ref="E18:N18" si="17">+IFERROR(E17/E$9,"")</f>
        <v/>
      </c>
      <c r="F18" s="19" t="str">
        <f t="shared" si="17"/>
        <v/>
      </c>
      <c r="G18" s="19" t="str">
        <f t="shared" si="17"/>
        <v/>
      </c>
      <c r="H18" s="19" t="str">
        <f t="shared" si="17"/>
        <v/>
      </c>
      <c r="I18" s="19" t="str">
        <f t="shared" si="17"/>
        <v/>
      </c>
      <c r="J18" s="19" t="str">
        <f t="shared" si="17"/>
        <v/>
      </c>
      <c r="K18" s="19" t="str">
        <f t="shared" si="17"/>
        <v/>
      </c>
      <c r="L18" s="19" t="str">
        <f t="shared" si="17"/>
        <v/>
      </c>
      <c r="M18" s="19" t="str">
        <f t="shared" si="17"/>
        <v/>
      </c>
      <c r="N18" s="19" t="str">
        <f t="shared" si="17"/>
        <v/>
      </c>
      <c r="O18" s="19" t="str">
        <f t="shared" ref="O18:S18" si="18">+IFERROR(O17/O$9,"")</f>
        <v/>
      </c>
      <c r="P18" s="19" t="str">
        <f t="shared" si="18"/>
        <v/>
      </c>
      <c r="Q18" s="19" t="str">
        <f t="shared" si="18"/>
        <v/>
      </c>
      <c r="R18" s="19" t="str">
        <f t="shared" si="18"/>
        <v/>
      </c>
      <c r="S18" s="19" t="str">
        <f t="shared" si="18"/>
        <v/>
      </c>
      <c r="T18" s="1"/>
      <c r="U18" s="20"/>
      <c r="V18" s="12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2"/>
    </row>
    <row r="19" spans="1:38" ht="15" customHeight="1">
      <c r="A19" s="1"/>
      <c r="B19" s="1"/>
      <c r="C19" s="1"/>
      <c r="D19" s="21" t="s">
        <v>11</v>
      </c>
      <c r="E19" s="17" t="str">
        <f t="shared" ref="E19:N19" si="19">+IF(E69=0,"",E69)</f>
        <v/>
      </c>
      <c r="F19" s="17" t="str">
        <f t="shared" si="19"/>
        <v/>
      </c>
      <c r="G19" s="17" t="str">
        <f t="shared" si="19"/>
        <v/>
      </c>
      <c r="H19" s="17" t="str">
        <f t="shared" si="19"/>
        <v/>
      </c>
      <c r="I19" s="17" t="str">
        <f t="shared" si="19"/>
        <v/>
      </c>
      <c r="J19" s="17" t="str">
        <f t="shared" si="19"/>
        <v/>
      </c>
      <c r="K19" s="17" t="str">
        <f t="shared" si="19"/>
        <v/>
      </c>
      <c r="L19" s="17" t="str">
        <f t="shared" si="19"/>
        <v/>
      </c>
      <c r="M19" s="17" t="str">
        <f t="shared" si="19"/>
        <v/>
      </c>
      <c r="N19" s="17" t="str">
        <f t="shared" si="19"/>
        <v/>
      </c>
      <c r="O19" s="17" t="str">
        <f t="shared" ref="O19:S19" si="20">+IF(O69=0,"",O69)</f>
        <v/>
      </c>
      <c r="P19" s="17" t="str">
        <f t="shared" si="20"/>
        <v/>
      </c>
      <c r="Q19" s="17" t="str">
        <f t="shared" si="20"/>
        <v/>
      </c>
      <c r="R19" s="17" t="str">
        <f t="shared" si="20"/>
        <v/>
      </c>
      <c r="S19" s="17" t="str">
        <f t="shared" si="20"/>
        <v/>
      </c>
      <c r="T19" s="1"/>
      <c r="U19" s="18" t="str">
        <f>IFERROR((P19/K19)^(1/(P$2-K$2))-1,"")</f>
        <v/>
      </c>
      <c r="V19" s="12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2"/>
    </row>
    <row r="20" spans="1:38" ht="15" customHeight="1">
      <c r="A20" s="1"/>
      <c r="B20" s="1"/>
      <c r="C20" s="1"/>
      <c r="D20" s="1" t="s">
        <v>7</v>
      </c>
      <c r="E20" s="19" t="str">
        <f t="shared" ref="E20:N20" si="21">+IFERROR(E19/E$9,"")</f>
        <v/>
      </c>
      <c r="F20" s="19" t="str">
        <f t="shared" si="21"/>
        <v/>
      </c>
      <c r="G20" s="19" t="str">
        <f t="shared" si="21"/>
        <v/>
      </c>
      <c r="H20" s="19" t="str">
        <f t="shared" si="21"/>
        <v/>
      </c>
      <c r="I20" s="19" t="str">
        <f t="shared" si="21"/>
        <v/>
      </c>
      <c r="J20" s="19" t="str">
        <f t="shared" si="21"/>
        <v/>
      </c>
      <c r="K20" s="19" t="str">
        <f t="shared" si="21"/>
        <v/>
      </c>
      <c r="L20" s="19" t="str">
        <f t="shared" si="21"/>
        <v/>
      </c>
      <c r="M20" s="19" t="str">
        <f t="shared" si="21"/>
        <v/>
      </c>
      <c r="N20" s="19" t="str">
        <f t="shared" si="21"/>
        <v/>
      </c>
      <c r="O20" s="19" t="str">
        <f t="shared" ref="O20:S20" si="22">+IFERROR(O19/O$9,"")</f>
        <v/>
      </c>
      <c r="P20" s="19" t="str">
        <f t="shared" si="22"/>
        <v/>
      </c>
      <c r="Q20" s="19" t="str">
        <f t="shared" si="22"/>
        <v/>
      </c>
      <c r="R20" s="19" t="str">
        <f t="shared" si="22"/>
        <v/>
      </c>
      <c r="S20" s="19" t="str">
        <f t="shared" si="22"/>
        <v/>
      </c>
      <c r="T20" s="1"/>
      <c r="U20" s="20"/>
      <c r="V20" s="12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2"/>
    </row>
    <row r="21" spans="1:38" ht="15" customHeight="1">
      <c r="A21" s="1"/>
      <c r="B21" s="1"/>
      <c r="C21" s="1"/>
      <c r="D21" s="21" t="s">
        <v>12</v>
      </c>
      <c r="E21" s="17" t="str">
        <f t="shared" ref="E21:N21" si="23">+IF(E80=0,"",E80)</f>
        <v/>
      </c>
      <c r="F21" s="17" t="str">
        <f t="shared" si="23"/>
        <v/>
      </c>
      <c r="G21" s="17" t="str">
        <f t="shared" si="23"/>
        <v/>
      </c>
      <c r="H21" s="17" t="str">
        <f t="shared" si="23"/>
        <v/>
      </c>
      <c r="I21" s="17" t="str">
        <f t="shared" si="23"/>
        <v/>
      </c>
      <c r="J21" s="17" t="str">
        <f t="shared" si="23"/>
        <v/>
      </c>
      <c r="K21" s="17" t="str">
        <f t="shared" si="23"/>
        <v/>
      </c>
      <c r="L21" s="17" t="str">
        <f t="shared" si="23"/>
        <v/>
      </c>
      <c r="M21" s="17" t="str">
        <f t="shared" si="23"/>
        <v/>
      </c>
      <c r="N21" s="17" t="str">
        <f t="shared" si="23"/>
        <v/>
      </c>
      <c r="O21" s="17" t="str">
        <f t="shared" ref="O21:S21" si="24">+IF(O80=0,"",O80)</f>
        <v/>
      </c>
      <c r="P21" s="17" t="str">
        <f t="shared" si="24"/>
        <v/>
      </c>
      <c r="Q21" s="17" t="str">
        <f t="shared" si="24"/>
        <v/>
      </c>
      <c r="R21" s="17" t="str">
        <f t="shared" si="24"/>
        <v/>
      </c>
      <c r="S21" s="17" t="str">
        <f t="shared" si="24"/>
        <v/>
      </c>
      <c r="T21" s="1"/>
      <c r="U21" s="18"/>
      <c r="V21" s="12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2"/>
    </row>
    <row r="22" spans="1:38" ht="15" customHeight="1">
      <c r="A22" s="1"/>
      <c r="B22" s="1"/>
      <c r="C22" s="1"/>
      <c r="D22" s="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"/>
      <c r="U22" s="22"/>
      <c r="V22" s="12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2"/>
    </row>
    <row r="23" spans="1:38" ht="15" customHeight="1">
      <c r="A23" s="1"/>
      <c r="B23" s="1"/>
      <c r="C23" s="1"/>
      <c r="D23" s="21" t="s">
        <v>13</v>
      </c>
      <c r="E23" s="17" t="str">
        <f t="shared" ref="E23:N23" si="25">+IF(E93=0,"",E93)</f>
        <v/>
      </c>
      <c r="F23" s="17" t="str">
        <f t="shared" si="25"/>
        <v/>
      </c>
      <c r="G23" s="17" t="str">
        <f t="shared" si="25"/>
        <v/>
      </c>
      <c r="H23" s="17" t="str">
        <f t="shared" si="25"/>
        <v/>
      </c>
      <c r="I23" s="17" t="str">
        <f t="shared" si="25"/>
        <v/>
      </c>
      <c r="J23" s="17" t="str">
        <f t="shared" si="25"/>
        <v/>
      </c>
      <c r="K23" s="17" t="str">
        <f t="shared" si="25"/>
        <v/>
      </c>
      <c r="L23" s="17" t="str">
        <f t="shared" si="25"/>
        <v/>
      </c>
      <c r="M23" s="17" t="str">
        <f t="shared" si="25"/>
        <v/>
      </c>
      <c r="N23" s="17" t="str">
        <f t="shared" si="25"/>
        <v/>
      </c>
      <c r="O23" s="17" t="str">
        <f t="shared" ref="O23:S23" si="26">+IF(O93=0,"",O93)</f>
        <v/>
      </c>
      <c r="P23" s="17" t="str">
        <f t="shared" si="26"/>
        <v/>
      </c>
      <c r="Q23" s="17" t="str">
        <f t="shared" si="26"/>
        <v/>
      </c>
      <c r="R23" s="17" t="str">
        <f t="shared" si="26"/>
        <v/>
      </c>
      <c r="S23" s="17" t="str">
        <f t="shared" si="26"/>
        <v/>
      </c>
      <c r="T23" s="1"/>
      <c r="U23" s="18"/>
      <c r="V23" s="12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2"/>
    </row>
    <row r="24" spans="1:3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3"/>
      <c r="V24" s="12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2"/>
    </row>
    <row r="25" spans="1:38" ht="15" customHeight="1">
      <c r="A25" s="1"/>
      <c r="B25" s="1"/>
      <c r="C25" s="1"/>
      <c r="D25" s="21" t="s">
        <v>14</v>
      </c>
      <c r="E25" s="17" t="str">
        <f t="shared" ref="E25:N25" si="27">+IF(E87=0,"",E87)</f>
        <v/>
      </c>
      <c r="F25" s="17" t="str">
        <f t="shared" si="27"/>
        <v/>
      </c>
      <c r="G25" s="17" t="str">
        <f t="shared" si="27"/>
        <v/>
      </c>
      <c r="H25" s="17" t="str">
        <f t="shared" si="27"/>
        <v/>
      </c>
      <c r="I25" s="17" t="str">
        <f t="shared" si="27"/>
        <v/>
      </c>
      <c r="J25" s="17" t="str">
        <f t="shared" si="27"/>
        <v/>
      </c>
      <c r="K25" s="17" t="str">
        <f t="shared" si="27"/>
        <v/>
      </c>
      <c r="L25" s="17" t="str">
        <f t="shared" si="27"/>
        <v/>
      </c>
      <c r="M25" s="17" t="str">
        <f t="shared" si="27"/>
        <v/>
      </c>
      <c r="N25" s="17" t="str">
        <f t="shared" si="27"/>
        <v/>
      </c>
      <c r="O25" s="17" t="str">
        <f t="shared" ref="O25:S25" si="28">+IF(O87=0,"",O87)</f>
        <v/>
      </c>
      <c r="P25" s="17" t="str">
        <f t="shared" si="28"/>
        <v/>
      </c>
      <c r="Q25" s="17" t="str">
        <f t="shared" si="28"/>
        <v/>
      </c>
      <c r="R25" s="17" t="str">
        <f t="shared" si="28"/>
        <v/>
      </c>
      <c r="S25" s="17" t="str">
        <f t="shared" si="28"/>
        <v/>
      </c>
      <c r="T25" s="1"/>
      <c r="U25" s="18"/>
      <c r="V25" s="12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2"/>
    </row>
    <row r="26" spans="1:38" ht="15" customHeight="1">
      <c r="A26" s="1"/>
      <c r="B26" s="1"/>
      <c r="C26" s="1"/>
      <c r="D26" s="21" t="s">
        <v>15</v>
      </c>
      <c r="E26" s="17" t="str">
        <f t="shared" ref="E26:N26" si="29">+IF(E88=0,"",E88)</f>
        <v/>
      </c>
      <c r="F26" s="17" t="str">
        <f t="shared" si="29"/>
        <v/>
      </c>
      <c r="G26" s="17" t="str">
        <f t="shared" si="29"/>
        <v/>
      </c>
      <c r="H26" s="17" t="str">
        <f t="shared" si="29"/>
        <v/>
      </c>
      <c r="I26" s="17" t="str">
        <f t="shared" si="29"/>
        <v/>
      </c>
      <c r="J26" s="17" t="str">
        <f t="shared" si="29"/>
        <v/>
      </c>
      <c r="K26" s="17" t="str">
        <f t="shared" si="29"/>
        <v/>
      </c>
      <c r="L26" s="17" t="str">
        <f t="shared" si="29"/>
        <v/>
      </c>
      <c r="M26" s="17" t="str">
        <f t="shared" si="29"/>
        <v/>
      </c>
      <c r="N26" s="17" t="str">
        <f t="shared" si="29"/>
        <v/>
      </c>
      <c r="O26" s="17" t="str">
        <f t="shared" ref="O26:S26" si="30">+IF(O88=0,"",O88)</f>
        <v/>
      </c>
      <c r="P26" s="17" t="str">
        <f t="shared" si="30"/>
        <v/>
      </c>
      <c r="Q26" s="17" t="str">
        <f t="shared" si="30"/>
        <v/>
      </c>
      <c r="R26" s="17" t="str">
        <f t="shared" si="30"/>
        <v/>
      </c>
      <c r="S26" s="17" t="str">
        <f t="shared" si="30"/>
        <v/>
      </c>
      <c r="T26" s="1"/>
      <c r="U26" s="18"/>
      <c r="V26" s="12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2"/>
    </row>
    <row r="27" spans="1:38" ht="15" customHeight="1">
      <c r="A27" s="1"/>
      <c r="B27" s="1"/>
      <c r="C27" s="1"/>
      <c r="D27" s="23" t="s">
        <v>16</v>
      </c>
      <c r="E27" s="24" t="str">
        <f t="shared" ref="E27:N27" si="31">IF(SUM(E25)-SUM(E26)=0,"",SUM(E25)-SUM(E26))</f>
        <v/>
      </c>
      <c r="F27" s="24" t="str">
        <f t="shared" si="31"/>
        <v/>
      </c>
      <c r="G27" s="24" t="str">
        <f t="shared" si="31"/>
        <v/>
      </c>
      <c r="H27" s="24" t="str">
        <f t="shared" si="31"/>
        <v/>
      </c>
      <c r="I27" s="24" t="str">
        <f t="shared" si="31"/>
        <v/>
      </c>
      <c r="J27" s="24" t="str">
        <f t="shared" si="31"/>
        <v/>
      </c>
      <c r="K27" s="24" t="str">
        <f t="shared" si="31"/>
        <v/>
      </c>
      <c r="L27" s="24" t="str">
        <f t="shared" si="31"/>
        <v/>
      </c>
      <c r="M27" s="24" t="str">
        <f t="shared" si="31"/>
        <v/>
      </c>
      <c r="N27" s="24" t="str">
        <f t="shared" si="31"/>
        <v/>
      </c>
      <c r="O27" s="24" t="str">
        <f t="shared" ref="O27:S27" si="32">IF(SUM(O25)-SUM(O26)=0,"",SUM(O25)-SUM(O26))</f>
        <v/>
      </c>
      <c r="P27" s="24" t="str">
        <f t="shared" si="32"/>
        <v/>
      </c>
      <c r="Q27" s="24" t="str">
        <f t="shared" si="32"/>
        <v/>
      </c>
      <c r="R27" s="24" t="str">
        <f t="shared" si="32"/>
        <v/>
      </c>
      <c r="S27" s="24" t="str">
        <f t="shared" si="32"/>
        <v/>
      </c>
      <c r="T27" s="25"/>
      <c r="U27" s="20"/>
      <c r="V27" s="12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2"/>
    </row>
    <row r="28" spans="1:38" ht="15" customHeight="1">
      <c r="A28" s="1"/>
      <c r="B28" s="1"/>
      <c r="C28" s="1"/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1"/>
      <c r="U28" s="3"/>
      <c r="V28" s="12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2"/>
    </row>
    <row r="29" spans="1:38" ht="15" customHeight="1">
      <c r="A29" s="1"/>
      <c r="B29" s="1"/>
      <c r="C29" s="1"/>
      <c r="D29" s="21" t="s">
        <v>17</v>
      </c>
      <c r="E29" s="17" t="str">
        <f t="shared" ref="E29:N29" si="33">+IF(E82=0,"",E82)</f>
        <v/>
      </c>
      <c r="F29" s="17" t="str">
        <f t="shared" si="33"/>
        <v/>
      </c>
      <c r="G29" s="17" t="str">
        <f t="shared" si="33"/>
        <v/>
      </c>
      <c r="H29" s="17" t="str">
        <f t="shared" si="33"/>
        <v/>
      </c>
      <c r="I29" s="17" t="str">
        <f t="shared" si="33"/>
        <v/>
      </c>
      <c r="J29" s="17" t="str">
        <f t="shared" si="33"/>
        <v/>
      </c>
      <c r="K29" s="17" t="str">
        <f t="shared" si="33"/>
        <v/>
      </c>
      <c r="L29" s="17" t="str">
        <f t="shared" si="33"/>
        <v/>
      </c>
      <c r="M29" s="17" t="str">
        <f t="shared" si="33"/>
        <v/>
      </c>
      <c r="N29" s="17" t="str">
        <f t="shared" si="33"/>
        <v/>
      </c>
      <c r="O29" s="17" t="str">
        <f t="shared" ref="O29:S29" si="34">+IF(O82=0,"",O82)</f>
        <v/>
      </c>
      <c r="P29" s="17" t="str">
        <f t="shared" si="34"/>
        <v/>
      </c>
      <c r="Q29" s="17" t="str">
        <f t="shared" si="34"/>
        <v/>
      </c>
      <c r="R29" s="17" t="str">
        <f t="shared" si="34"/>
        <v/>
      </c>
      <c r="S29" s="17" t="str">
        <f t="shared" si="34"/>
        <v/>
      </c>
      <c r="T29" s="1"/>
      <c r="U29" s="18"/>
      <c r="V29" s="12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2"/>
    </row>
    <row r="30" spans="1:38" ht="15" customHeight="1">
      <c r="A30" s="1"/>
      <c r="B30" s="1"/>
      <c r="C30" s="1"/>
      <c r="D30" s="21" t="s">
        <v>18</v>
      </c>
      <c r="E30" s="17" t="str">
        <f t="shared" ref="E30:N30" si="35">+IF(E83=0,"",E83)</f>
        <v/>
      </c>
      <c r="F30" s="17" t="str">
        <f t="shared" si="35"/>
        <v/>
      </c>
      <c r="G30" s="17" t="str">
        <f t="shared" si="35"/>
        <v/>
      </c>
      <c r="H30" s="17" t="str">
        <f t="shared" si="35"/>
        <v/>
      </c>
      <c r="I30" s="17" t="str">
        <f t="shared" si="35"/>
        <v/>
      </c>
      <c r="J30" s="17" t="str">
        <f t="shared" si="35"/>
        <v/>
      </c>
      <c r="K30" s="17" t="str">
        <f t="shared" si="35"/>
        <v/>
      </c>
      <c r="L30" s="17" t="str">
        <f t="shared" si="35"/>
        <v/>
      </c>
      <c r="M30" s="17" t="str">
        <f t="shared" si="35"/>
        <v/>
      </c>
      <c r="N30" s="17" t="str">
        <f t="shared" si="35"/>
        <v/>
      </c>
      <c r="O30" s="17" t="str">
        <f t="shared" ref="O30:S30" si="36">+IF(O83=0,"",O83)</f>
        <v/>
      </c>
      <c r="P30" s="17" t="str">
        <f t="shared" si="36"/>
        <v/>
      </c>
      <c r="Q30" s="17" t="str">
        <f t="shared" si="36"/>
        <v/>
      </c>
      <c r="R30" s="17" t="str">
        <f t="shared" si="36"/>
        <v/>
      </c>
      <c r="S30" s="17" t="str">
        <f t="shared" si="36"/>
        <v/>
      </c>
      <c r="T30" s="1"/>
      <c r="U30" s="18"/>
      <c r="V30" s="12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2"/>
    </row>
    <row r="31" spans="1:38" ht="15" customHeight="1">
      <c r="A31" s="1"/>
      <c r="B31" s="1"/>
      <c r="C31" s="1"/>
      <c r="D31" s="21" t="s">
        <v>19</v>
      </c>
      <c r="E31" s="17" t="str">
        <f t="shared" ref="E31:N31" si="37">+IF(E84=0,"",E84)</f>
        <v/>
      </c>
      <c r="F31" s="17" t="str">
        <f t="shared" si="37"/>
        <v/>
      </c>
      <c r="G31" s="17" t="str">
        <f t="shared" si="37"/>
        <v/>
      </c>
      <c r="H31" s="17" t="str">
        <f t="shared" si="37"/>
        <v/>
      </c>
      <c r="I31" s="17" t="str">
        <f t="shared" si="37"/>
        <v/>
      </c>
      <c r="J31" s="17" t="str">
        <f t="shared" si="37"/>
        <v/>
      </c>
      <c r="K31" s="17" t="str">
        <f t="shared" si="37"/>
        <v/>
      </c>
      <c r="L31" s="17" t="str">
        <f t="shared" si="37"/>
        <v/>
      </c>
      <c r="M31" s="17" t="str">
        <f t="shared" si="37"/>
        <v/>
      </c>
      <c r="N31" s="17" t="str">
        <f t="shared" si="37"/>
        <v/>
      </c>
      <c r="O31" s="17" t="str">
        <f t="shared" ref="O31:S31" si="38">+IF(O84=0,"",O84)</f>
        <v/>
      </c>
      <c r="P31" s="17" t="str">
        <f t="shared" si="38"/>
        <v/>
      </c>
      <c r="Q31" s="17" t="str">
        <f t="shared" si="38"/>
        <v/>
      </c>
      <c r="R31" s="17" t="str">
        <f t="shared" si="38"/>
        <v/>
      </c>
      <c r="S31" s="17" t="str">
        <f t="shared" si="38"/>
        <v/>
      </c>
      <c r="T31" s="1"/>
      <c r="U31" s="18"/>
      <c r="V31" s="12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2"/>
    </row>
    <row r="32" spans="1:38" ht="15" customHeight="1">
      <c r="A32" s="1"/>
      <c r="B32" s="1"/>
      <c r="C32" s="1"/>
      <c r="D32" s="23" t="s">
        <v>20</v>
      </c>
      <c r="E32" s="24" t="str">
        <f t="shared" ref="E32:N32" si="39">IF(SUM(E29:E30)-SUM(E31)=0,"",SUM(E29:E30)-SUM(E31))</f>
        <v/>
      </c>
      <c r="F32" s="24" t="str">
        <f t="shared" si="39"/>
        <v/>
      </c>
      <c r="G32" s="24" t="str">
        <f t="shared" si="39"/>
        <v/>
      </c>
      <c r="H32" s="24" t="str">
        <f t="shared" si="39"/>
        <v/>
      </c>
      <c r="I32" s="24" t="str">
        <f t="shared" si="39"/>
        <v/>
      </c>
      <c r="J32" s="24" t="str">
        <f t="shared" si="39"/>
        <v/>
      </c>
      <c r="K32" s="24" t="str">
        <f t="shared" si="39"/>
        <v/>
      </c>
      <c r="L32" s="24" t="str">
        <f t="shared" si="39"/>
        <v/>
      </c>
      <c r="M32" s="24" t="str">
        <f t="shared" si="39"/>
        <v/>
      </c>
      <c r="N32" s="24" t="str">
        <f t="shared" si="39"/>
        <v/>
      </c>
      <c r="O32" s="24" t="str">
        <f t="shared" ref="O32:S32" si="40">IF(SUM(O29:O30)-SUM(O31)=0,"",SUM(O29:O30)-SUM(O31))</f>
        <v/>
      </c>
      <c r="P32" s="24" t="str">
        <f t="shared" si="40"/>
        <v/>
      </c>
      <c r="Q32" s="24" t="str">
        <f t="shared" si="40"/>
        <v/>
      </c>
      <c r="R32" s="24" t="str">
        <f t="shared" si="40"/>
        <v/>
      </c>
      <c r="S32" s="24" t="str">
        <f t="shared" si="40"/>
        <v/>
      </c>
      <c r="T32" s="25"/>
      <c r="U32" s="20"/>
      <c r="V32" s="12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2"/>
    </row>
    <row r="33" spans="1:38" ht="15" customHeight="1">
      <c r="A33" s="1"/>
      <c r="B33" s="1"/>
      <c r="C33" s="1"/>
      <c r="D33" s="2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1"/>
      <c r="U33" s="3"/>
      <c r="V33" s="12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2"/>
    </row>
    <row r="34" spans="1:38" ht="15" customHeight="1">
      <c r="A34" s="1"/>
      <c r="B34" s="1"/>
      <c r="C34" s="1"/>
      <c r="D34" s="21" t="s">
        <v>21</v>
      </c>
      <c r="E34" s="28" t="str">
        <f t="shared" ref="E34:N34" si="41">IF(E95=0,"",E95)</f>
        <v/>
      </c>
      <c r="F34" s="28" t="str">
        <f t="shared" si="41"/>
        <v/>
      </c>
      <c r="G34" s="28" t="str">
        <f t="shared" si="41"/>
        <v/>
      </c>
      <c r="H34" s="28" t="str">
        <f t="shared" si="41"/>
        <v/>
      </c>
      <c r="I34" s="28" t="str">
        <f t="shared" si="41"/>
        <v/>
      </c>
      <c r="J34" s="28" t="str">
        <f t="shared" si="41"/>
        <v/>
      </c>
      <c r="K34" s="28" t="str">
        <f t="shared" si="41"/>
        <v/>
      </c>
      <c r="L34" s="28" t="str">
        <f t="shared" si="41"/>
        <v/>
      </c>
      <c r="M34" s="28" t="str">
        <f t="shared" si="41"/>
        <v/>
      </c>
      <c r="N34" s="28" t="str">
        <f t="shared" si="41"/>
        <v/>
      </c>
      <c r="O34" s="28" t="str">
        <f t="shared" ref="O34:S34" si="42">IF(O95=0,"",O95)</f>
        <v/>
      </c>
      <c r="P34" s="28" t="str">
        <f t="shared" si="42"/>
        <v/>
      </c>
      <c r="Q34" s="28" t="str">
        <f t="shared" si="42"/>
        <v/>
      </c>
      <c r="R34" s="28" t="str">
        <f t="shared" si="42"/>
        <v/>
      </c>
      <c r="S34" s="28" t="str">
        <f t="shared" si="42"/>
        <v/>
      </c>
      <c r="T34" s="1"/>
      <c r="U34" s="18" t="str">
        <f>IFERROR((P34/K34)^(1/(P$2-K$2))-1,"")</f>
        <v/>
      </c>
      <c r="V34" s="12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2"/>
    </row>
    <row r="35" spans="1:38" ht="15" customHeight="1">
      <c r="A35" s="1"/>
      <c r="B35" s="1"/>
      <c r="C35" s="1"/>
      <c r="D35" s="26" t="s">
        <v>5</v>
      </c>
      <c r="E35" s="29"/>
      <c r="F35" s="29" t="str">
        <f t="shared" ref="F35:S35" si="43">IF(F34=0,"",IFERROR(F34/E34-1,""))</f>
        <v/>
      </c>
      <c r="G35" s="29" t="str">
        <f t="shared" si="43"/>
        <v/>
      </c>
      <c r="H35" s="29" t="str">
        <f t="shared" si="43"/>
        <v/>
      </c>
      <c r="I35" s="29" t="str">
        <f t="shared" si="43"/>
        <v/>
      </c>
      <c r="J35" s="29" t="str">
        <f t="shared" si="43"/>
        <v/>
      </c>
      <c r="K35" s="29" t="str">
        <f t="shared" si="43"/>
        <v/>
      </c>
      <c r="L35" s="29" t="str">
        <f t="shared" si="43"/>
        <v/>
      </c>
      <c r="M35" s="29" t="str">
        <f t="shared" si="43"/>
        <v/>
      </c>
      <c r="N35" s="29" t="str">
        <f t="shared" si="43"/>
        <v/>
      </c>
      <c r="O35" s="29" t="str">
        <f t="shared" si="43"/>
        <v/>
      </c>
      <c r="P35" s="29" t="str">
        <f t="shared" si="43"/>
        <v/>
      </c>
      <c r="Q35" s="29" t="str">
        <f t="shared" si="43"/>
        <v/>
      </c>
      <c r="R35" s="29" t="str">
        <f t="shared" si="43"/>
        <v/>
      </c>
      <c r="S35" s="29" t="str">
        <f t="shared" si="43"/>
        <v/>
      </c>
      <c r="T35" s="1"/>
      <c r="U35" s="3"/>
      <c r="V35" s="12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2"/>
    </row>
    <row r="36" spans="1:38" ht="15" customHeight="1">
      <c r="A36" s="1"/>
      <c r="B36" s="1"/>
      <c r="C36" s="1"/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1"/>
      <c r="U36" s="3"/>
      <c r="V36" s="12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2"/>
    </row>
    <row r="37" spans="1:38" ht="15" customHeight="1">
      <c r="A37" s="1"/>
      <c r="B37" s="1"/>
      <c r="C37" s="1"/>
      <c r="D37" s="30" t="s">
        <v>22</v>
      </c>
      <c r="E37" s="31" t="str">
        <f t="shared" ref="E37:N37" si="44">IFERROR(IF(E17="",E19,E17)/IF(E13="",E15,E13),"")</f>
        <v/>
      </c>
      <c r="F37" s="31" t="str">
        <f t="shared" si="44"/>
        <v/>
      </c>
      <c r="G37" s="31" t="str">
        <f t="shared" si="44"/>
        <v/>
      </c>
      <c r="H37" s="31" t="str">
        <f t="shared" si="44"/>
        <v/>
      </c>
      <c r="I37" s="31" t="str">
        <f t="shared" si="44"/>
        <v/>
      </c>
      <c r="J37" s="31" t="str">
        <f t="shared" si="44"/>
        <v/>
      </c>
      <c r="K37" s="31" t="str">
        <f t="shared" si="44"/>
        <v/>
      </c>
      <c r="L37" s="31" t="str">
        <f t="shared" si="44"/>
        <v/>
      </c>
      <c r="M37" s="31" t="str">
        <f t="shared" si="44"/>
        <v/>
      </c>
      <c r="N37" s="31" t="str">
        <f t="shared" si="44"/>
        <v/>
      </c>
      <c r="O37" s="31" t="str">
        <f t="shared" ref="O37:S37" si="45">IFERROR(IF(O17="",O19,O17)/IF(O13="",O15,O13),"")</f>
        <v/>
      </c>
      <c r="P37" s="31" t="str">
        <f t="shared" si="45"/>
        <v/>
      </c>
      <c r="Q37" s="31" t="str">
        <f t="shared" si="45"/>
        <v/>
      </c>
      <c r="R37" s="31" t="str">
        <f t="shared" si="45"/>
        <v/>
      </c>
      <c r="S37" s="31" t="str">
        <f t="shared" si="45"/>
        <v/>
      </c>
      <c r="T37" s="25"/>
      <c r="U37" s="3"/>
      <c r="V37" s="12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2"/>
    </row>
    <row r="38" spans="1:38" ht="15" customHeight="1">
      <c r="A38" s="1"/>
      <c r="B38" s="1"/>
      <c r="C38" s="1"/>
      <c r="D38" s="30" t="s">
        <v>23</v>
      </c>
      <c r="E38" s="31" t="str">
        <f t="shared" ref="E38:N38" si="46">IFERROR(1-E23/IF(E13="",E15,E13),"")</f>
        <v/>
      </c>
      <c r="F38" s="31" t="str">
        <f t="shared" si="46"/>
        <v/>
      </c>
      <c r="G38" s="31" t="str">
        <f t="shared" si="46"/>
        <v/>
      </c>
      <c r="H38" s="31" t="str">
        <f t="shared" si="46"/>
        <v/>
      </c>
      <c r="I38" s="31" t="str">
        <f t="shared" si="46"/>
        <v/>
      </c>
      <c r="J38" s="31" t="str">
        <f t="shared" si="46"/>
        <v/>
      </c>
      <c r="K38" s="31" t="str">
        <f t="shared" si="46"/>
        <v/>
      </c>
      <c r="L38" s="31" t="str">
        <f t="shared" si="46"/>
        <v/>
      </c>
      <c r="M38" s="31" t="str">
        <f t="shared" si="46"/>
        <v/>
      </c>
      <c r="N38" s="31" t="str">
        <f t="shared" si="46"/>
        <v/>
      </c>
      <c r="O38" s="31" t="str">
        <f t="shared" ref="O38:S38" si="47">IFERROR(1-O23/IF(O13="",O15,O13),"")</f>
        <v/>
      </c>
      <c r="P38" s="31" t="str">
        <f t="shared" si="47"/>
        <v/>
      </c>
      <c r="Q38" s="31" t="str">
        <f t="shared" si="47"/>
        <v/>
      </c>
      <c r="R38" s="31" t="str">
        <f t="shared" si="47"/>
        <v/>
      </c>
      <c r="S38" s="31" t="str">
        <f t="shared" si="47"/>
        <v/>
      </c>
      <c r="T38" s="25"/>
      <c r="U38" s="3"/>
      <c r="V38" s="12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2"/>
    </row>
    <row r="39" spans="1:38" ht="15" customHeight="1">
      <c r="A39" s="1"/>
      <c r="B39" s="1"/>
      <c r="C39" s="1"/>
      <c r="D39" s="30" t="s">
        <v>24</v>
      </c>
      <c r="E39" s="31"/>
      <c r="F39" s="31" t="str">
        <f t="shared" ref="F39:S39" si="48">IF(AND(F23&lt;&gt;"",F32&lt;&gt;"",E32&lt;&gt;"")=TRUE,IFERROR((IF(F13="",F15,F13)&lt;&gt;"")*(1-(F23+F32-E32)/IF(F13="",F15,F13)),""),"")</f>
        <v/>
      </c>
      <c r="G39" s="31" t="str">
        <f t="shared" si="48"/>
        <v/>
      </c>
      <c r="H39" s="31" t="str">
        <f t="shared" si="48"/>
        <v/>
      </c>
      <c r="I39" s="31" t="str">
        <f t="shared" si="48"/>
        <v/>
      </c>
      <c r="J39" s="31" t="str">
        <f t="shared" si="48"/>
        <v/>
      </c>
      <c r="K39" s="31" t="str">
        <f t="shared" si="48"/>
        <v/>
      </c>
      <c r="L39" s="31" t="str">
        <f t="shared" si="48"/>
        <v/>
      </c>
      <c r="M39" s="31" t="str">
        <f t="shared" si="48"/>
        <v/>
      </c>
      <c r="N39" s="31" t="str">
        <f t="shared" si="48"/>
        <v/>
      </c>
      <c r="O39" s="31" t="str">
        <f t="shared" si="48"/>
        <v/>
      </c>
      <c r="P39" s="31" t="str">
        <f t="shared" si="48"/>
        <v/>
      </c>
      <c r="Q39" s="31" t="str">
        <f t="shared" si="48"/>
        <v/>
      </c>
      <c r="R39" s="31" t="str">
        <f t="shared" si="48"/>
        <v/>
      </c>
      <c r="S39" s="31" t="str">
        <f t="shared" si="48"/>
        <v/>
      </c>
      <c r="T39" s="25"/>
      <c r="U39" s="3"/>
      <c r="V39" s="12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2"/>
    </row>
    <row r="40" spans="1:3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5" customHeight="1">
      <c r="A41" s="1"/>
      <c r="B41" s="1"/>
      <c r="C41" s="13" t="s">
        <v>25</v>
      </c>
      <c r="D41" s="13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7"/>
      <c r="U41" s="1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5" customHeight="1">
      <c r="A42" s="1"/>
      <c r="B42" s="1"/>
      <c r="C42" s="1"/>
      <c r="D42" s="21" t="s">
        <v>4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1"/>
      <c r="U42" s="33"/>
      <c r="V42" s="12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2"/>
    </row>
    <row r="43" spans="1:38" ht="15" customHeight="1">
      <c r="A43" s="1"/>
      <c r="B43" s="1"/>
      <c r="C43" s="1"/>
      <c r="D43" s="21" t="s">
        <v>6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1"/>
      <c r="U43" s="33"/>
      <c r="V43" s="12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2"/>
    </row>
    <row r="44" spans="1:38" ht="15" customHeight="1">
      <c r="A44" s="1"/>
      <c r="B44" s="1"/>
      <c r="C44" s="1"/>
      <c r="D44" s="21" t="s">
        <v>8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1"/>
      <c r="U44" s="3"/>
      <c r="V44" s="12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2"/>
    </row>
    <row r="45" spans="1:38" ht="15" customHeight="1">
      <c r="A45" s="1"/>
      <c r="B45" s="1"/>
      <c r="C45" s="1"/>
      <c r="D45" s="21" t="s">
        <v>9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1"/>
      <c r="U45" s="3"/>
      <c r="V45" s="12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2"/>
    </row>
    <row r="46" spans="1:38" ht="15" customHeight="1">
      <c r="A46" s="1"/>
      <c r="B46" s="1"/>
      <c r="C46" s="1"/>
      <c r="D46" s="21" t="s">
        <v>10</v>
      </c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1"/>
      <c r="U46" s="3"/>
      <c r="V46" s="12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2"/>
    </row>
    <row r="47" spans="1:38" ht="15" customHeight="1">
      <c r="A47" s="1"/>
      <c r="B47" s="1"/>
      <c r="C47" s="1"/>
      <c r="D47" s="21" t="s">
        <v>11</v>
      </c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1"/>
      <c r="U47" s="3"/>
      <c r="V47" s="12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2"/>
    </row>
    <row r="48" spans="1:38" ht="15" customHeight="1">
      <c r="A48" s="1"/>
      <c r="B48" s="1"/>
      <c r="C48" s="1"/>
      <c r="D48" s="21" t="s">
        <v>12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1"/>
      <c r="U48" s="3"/>
      <c r="V48" s="12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2"/>
    </row>
    <row r="49" spans="1:38" ht="15" customHeight="1">
      <c r="A49" s="1"/>
      <c r="B49" s="1"/>
      <c r="C49" s="1"/>
      <c r="D49" s="21" t="s">
        <v>13</v>
      </c>
      <c r="E49" s="34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1"/>
      <c r="U49" s="3"/>
      <c r="V49" s="12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2"/>
    </row>
    <row r="50" spans="1:38" ht="15" customHeight="1">
      <c r="A50" s="1"/>
      <c r="B50" s="1"/>
      <c r="C50" s="1"/>
      <c r="D50" s="21" t="s">
        <v>14</v>
      </c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1"/>
      <c r="U50" s="3"/>
      <c r="V50" s="12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2"/>
    </row>
    <row r="51" spans="1:38" ht="15" customHeight="1">
      <c r="A51" s="1"/>
      <c r="B51" s="1"/>
      <c r="C51" s="1"/>
      <c r="D51" s="21" t="s">
        <v>15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1"/>
      <c r="U51" s="3"/>
      <c r="V51" s="12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2"/>
    </row>
    <row r="52" spans="1:38" ht="15" customHeight="1">
      <c r="A52" s="1"/>
      <c r="B52" s="1"/>
      <c r="C52" s="1"/>
      <c r="D52" s="21" t="s">
        <v>17</v>
      </c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1"/>
      <c r="U52" s="3"/>
      <c r="V52" s="12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2"/>
    </row>
    <row r="53" spans="1:38" ht="15" customHeight="1">
      <c r="A53" s="1"/>
      <c r="B53" s="1"/>
      <c r="C53" s="1"/>
      <c r="D53" s="21" t="s">
        <v>18</v>
      </c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1"/>
      <c r="U53" s="3"/>
      <c r="V53" s="12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2"/>
    </row>
    <row r="54" spans="1:38" ht="15" customHeight="1">
      <c r="A54" s="1"/>
      <c r="B54" s="1"/>
      <c r="C54" s="1"/>
      <c r="D54" s="21" t="s">
        <v>19</v>
      </c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1"/>
      <c r="U54" s="3"/>
      <c r="V54" s="12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2"/>
    </row>
    <row r="55" spans="1:38" ht="15" customHeight="1">
      <c r="A55" s="1"/>
      <c r="B55" s="1"/>
      <c r="C55" s="1"/>
      <c r="D55" s="21" t="s">
        <v>21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1"/>
      <c r="U55" s="3"/>
      <c r="V55" s="12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2"/>
    </row>
    <row r="56" spans="1:38" ht="15" customHeight="1">
      <c r="A56" s="1"/>
      <c r="B56" s="1"/>
      <c r="C56" s="1"/>
      <c r="D56" s="1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1"/>
      <c r="U56" s="3"/>
      <c r="V56" s="12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2"/>
    </row>
    <row r="57" spans="1:3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" customHeight="1">
      <c r="A58" s="1"/>
      <c r="B58" s="4" t="s">
        <v>26</v>
      </c>
      <c r="C58" s="4"/>
      <c r="D58" s="4"/>
      <c r="E58" s="35"/>
      <c r="F58" s="35"/>
      <c r="G58" s="35"/>
      <c r="H58" s="35"/>
      <c r="I58" s="35"/>
      <c r="J58" s="35"/>
      <c r="K58" s="35"/>
      <c r="L58" s="36" t="s">
        <v>27</v>
      </c>
      <c r="M58" s="36"/>
      <c r="N58" s="36"/>
      <c r="O58" s="36"/>
      <c r="P58" s="36"/>
      <c r="Q58" s="36"/>
      <c r="R58" s="36"/>
      <c r="S58" s="36"/>
      <c r="T58" s="7"/>
      <c r="U58" s="3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" customHeight="1">
      <c r="A60" s="1"/>
      <c r="B60" s="1"/>
      <c r="C60" s="13" t="s">
        <v>28</v>
      </c>
      <c r="D60" s="13"/>
      <c r="E60" s="38">
        <f t="shared" ref="E60:S60" si="49">E$2</f>
        <v>2013</v>
      </c>
      <c r="F60" s="38">
        <f t="shared" si="49"/>
        <v>2014</v>
      </c>
      <c r="G60" s="38">
        <f t="shared" si="49"/>
        <v>2015</v>
      </c>
      <c r="H60" s="38">
        <f t="shared" si="49"/>
        <v>2016</v>
      </c>
      <c r="I60" s="38">
        <f t="shared" si="49"/>
        <v>2017</v>
      </c>
      <c r="J60" s="38">
        <f t="shared" si="49"/>
        <v>2018</v>
      </c>
      <c r="K60" s="38">
        <f t="shared" si="49"/>
        <v>2019</v>
      </c>
      <c r="L60" s="38">
        <f t="shared" si="49"/>
        <v>2020</v>
      </c>
      <c r="M60" s="38">
        <f t="shared" si="49"/>
        <v>2021</v>
      </c>
      <c r="N60" s="38">
        <f t="shared" si="49"/>
        <v>2022</v>
      </c>
      <c r="O60" s="38">
        <f t="shared" si="49"/>
        <v>2023</v>
      </c>
      <c r="P60" s="38">
        <f t="shared" si="49"/>
        <v>2024</v>
      </c>
      <c r="Q60" s="38">
        <f t="shared" si="49"/>
        <v>2025</v>
      </c>
      <c r="R60" s="38">
        <f t="shared" si="49"/>
        <v>2026</v>
      </c>
      <c r="S60" s="38">
        <f t="shared" si="49"/>
        <v>2027</v>
      </c>
      <c r="T60" s="7"/>
      <c r="U60" s="15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" customHeight="1">
      <c r="A61" s="39"/>
      <c r="B61" s="39"/>
      <c r="C61" s="39"/>
      <c r="D61" s="40" t="s">
        <v>29</v>
      </c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102"/>
      <c r="U61" s="139" t="str">
        <f>IFERROR((P61/K61)^(1/(P$2-K$2))-1,"")</f>
        <v/>
      </c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</row>
    <row r="62" spans="1:38" ht="15" customHeight="1">
      <c r="A62" s="39"/>
      <c r="B62" s="39"/>
      <c r="C62" s="39"/>
      <c r="D62" s="40" t="s">
        <v>30</v>
      </c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102"/>
      <c r="U62" s="139" t="str">
        <f>IFERROR((P62/K62)^(1/(P$2-K$2))-1,"")</f>
        <v/>
      </c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</row>
    <row r="63" spans="1:38" ht="15" customHeight="1">
      <c r="A63" s="1"/>
      <c r="B63" s="1"/>
      <c r="C63" s="1"/>
      <c r="D63" s="41" t="s">
        <v>4</v>
      </c>
      <c r="E63" s="105">
        <f t="shared" ref="E63:N63" si="50">+IFERROR(E61+E62,"")</f>
        <v>0</v>
      </c>
      <c r="F63" s="105">
        <f t="shared" si="50"/>
        <v>0</v>
      </c>
      <c r="G63" s="105">
        <f t="shared" si="50"/>
        <v>0</v>
      </c>
      <c r="H63" s="105">
        <f t="shared" si="50"/>
        <v>0</v>
      </c>
      <c r="I63" s="105">
        <f t="shared" si="50"/>
        <v>0</v>
      </c>
      <c r="J63" s="105">
        <f t="shared" si="50"/>
        <v>0</v>
      </c>
      <c r="K63" s="105">
        <f t="shared" si="50"/>
        <v>0</v>
      </c>
      <c r="L63" s="105">
        <f t="shared" si="50"/>
        <v>0</v>
      </c>
      <c r="M63" s="105">
        <f t="shared" si="50"/>
        <v>0</v>
      </c>
      <c r="N63" s="105">
        <f t="shared" si="50"/>
        <v>0</v>
      </c>
      <c r="O63" s="105">
        <f t="shared" ref="O63:S63" si="51">+IFERROR(O61+O62,"")</f>
        <v>0</v>
      </c>
      <c r="P63" s="105">
        <f t="shared" si="51"/>
        <v>0</v>
      </c>
      <c r="Q63" s="105">
        <f t="shared" si="51"/>
        <v>0</v>
      </c>
      <c r="R63" s="105">
        <f t="shared" si="51"/>
        <v>0</v>
      </c>
      <c r="S63" s="105">
        <f t="shared" si="51"/>
        <v>0</v>
      </c>
      <c r="T63" s="94"/>
      <c r="U63" s="104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" customHeight="1">
      <c r="A64" s="1"/>
      <c r="B64" s="1"/>
      <c r="C64" s="1"/>
      <c r="D64" s="41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94"/>
      <c r="U64" s="104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" customHeight="1">
      <c r="A65" s="39"/>
      <c r="B65" s="39"/>
      <c r="C65" s="39"/>
      <c r="D65" s="40" t="s">
        <v>31</v>
      </c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102"/>
      <c r="U65" s="139" t="str">
        <f>IFERROR((P65/K65)^(1/(P$2-K$2))-1,"")</f>
        <v/>
      </c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</row>
    <row r="66" spans="1:38" ht="15" customHeight="1">
      <c r="A66" s="39"/>
      <c r="B66" s="39"/>
      <c r="C66" s="39"/>
      <c r="D66" s="40" t="s">
        <v>32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102"/>
      <c r="U66" s="139" t="str">
        <f>IFERROR((P66/K66)^(1/(P$2-K$2))-1,"")</f>
        <v/>
      </c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</row>
    <row r="67" spans="1:38" ht="15" customHeight="1">
      <c r="A67" s="1"/>
      <c r="B67" s="1"/>
      <c r="C67" s="1"/>
      <c r="D67" s="41" t="s">
        <v>6</v>
      </c>
      <c r="E67" s="105">
        <f t="shared" ref="E67:N67" si="52">E63-IFERROR(E65+E66,"")</f>
        <v>0</v>
      </c>
      <c r="F67" s="105">
        <f t="shared" si="52"/>
        <v>0</v>
      </c>
      <c r="G67" s="105">
        <f t="shared" si="52"/>
        <v>0</v>
      </c>
      <c r="H67" s="105">
        <f t="shared" si="52"/>
        <v>0</v>
      </c>
      <c r="I67" s="105">
        <f t="shared" si="52"/>
        <v>0</v>
      </c>
      <c r="J67" s="105">
        <f t="shared" si="52"/>
        <v>0</v>
      </c>
      <c r="K67" s="105">
        <f t="shared" si="52"/>
        <v>0</v>
      </c>
      <c r="L67" s="105">
        <f t="shared" si="52"/>
        <v>0</v>
      </c>
      <c r="M67" s="105">
        <f t="shared" si="52"/>
        <v>0</v>
      </c>
      <c r="N67" s="105">
        <f t="shared" si="52"/>
        <v>0</v>
      </c>
      <c r="O67" s="105">
        <f t="shared" ref="O67:S67" si="53">O63-IFERROR(O65+O66,"")</f>
        <v>0</v>
      </c>
      <c r="P67" s="105">
        <f t="shared" si="53"/>
        <v>0</v>
      </c>
      <c r="Q67" s="105">
        <f t="shared" si="53"/>
        <v>0</v>
      </c>
      <c r="R67" s="105">
        <f t="shared" si="53"/>
        <v>0</v>
      </c>
      <c r="S67" s="105">
        <f t="shared" si="53"/>
        <v>0</v>
      </c>
      <c r="T67" s="94"/>
      <c r="U67" s="104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" customHeight="1">
      <c r="A68" s="1"/>
      <c r="B68" s="1"/>
      <c r="C68" s="1"/>
      <c r="D68" s="41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94"/>
      <c r="U68" s="104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" customHeight="1">
      <c r="A69" s="43"/>
      <c r="B69" s="43"/>
      <c r="C69" s="43"/>
      <c r="D69" s="44" t="s">
        <v>33</v>
      </c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94"/>
      <c r="U69" s="104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</row>
    <row r="70" spans="1:38" ht="15" customHeight="1">
      <c r="A70" s="39"/>
      <c r="B70" s="39"/>
      <c r="C70" s="39"/>
      <c r="D70" s="45" t="s">
        <v>34</v>
      </c>
      <c r="E70" s="108">
        <f>+E76-E74</f>
        <v>0</v>
      </c>
      <c r="F70" s="108">
        <f t="shared" ref="F70:N70" si="54">+F76-F72-F73</f>
        <v>0</v>
      </c>
      <c r="G70" s="108">
        <f t="shared" si="54"/>
        <v>0</v>
      </c>
      <c r="H70" s="108">
        <f t="shared" si="54"/>
        <v>0</v>
      </c>
      <c r="I70" s="108">
        <f t="shared" si="54"/>
        <v>0</v>
      </c>
      <c r="J70" s="108">
        <f t="shared" si="54"/>
        <v>0</v>
      </c>
      <c r="K70" s="108">
        <f t="shared" si="54"/>
        <v>0</v>
      </c>
      <c r="L70" s="108">
        <f t="shared" si="54"/>
        <v>0</v>
      </c>
      <c r="M70" s="108">
        <f t="shared" si="54"/>
        <v>0</v>
      </c>
      <c r="N70" s="108">
        <f t="shared" si="54"/>
        <v>0</v>
      </c>
      <c r="O70" s="108">
        <f t="shared" ref="O70:S70" si="55">+O76-O72-O73</f>
        <v>0</v>
      </c>
      <c r="P70" s="108">
        <f>+P76-P72-P73</f>
        <v>0</v>
      </c>
      <c r="Q70" s="108">
        <f t="shared" si="55"/>
        <v>0</v>
      </c>
      <c r="R70" s="108">
        <f t="shared" si="55"/>
        <v>0</v>
      </c>
      <c r="S70" s="108">
        <f t="shared" si="55"/>
        <v>0</v>
      </c>
      <c r="T70" s="102"/>
      <c r="U70" s="139" t="str">
        <f>IFERROR((P70/K70)^(1/(P$2-K$2))-1,"")</f>
        <v/>
      </c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</row>
    <row r="71" spans="1:38" ht="15" customHeight="1">
      <c r="A71" s="1"/>
      <c r="B71" s="1"/>
      <c r="C71" s="1"/>
      <c r="D71" s="41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94"/>
      <c r="U71" s="104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" hidden="1" customHeight="1" outlineLevel="1">
      <c r="A72" s="39"/>
      <c r="B72" s="39"/>
      <c r="C72" s="39"/>
      <c r="D72" s="46" t="s">
        <v>35</v>
      </c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102"/>
      <c r="U72" s="139" t="str">
        <f>IFERROR((P72/L72)^(1/(P$2-L$2))-1,"")</f>
        <v/>
      </c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</row>
    <row r="73" spans="1:38" ht="15" hidden="1" customHeight="1" outlineLevel="1">
      <c r="A73" s="39"/>
      <c r="B73" s="39"/>
      <c r="C73" s="39"/>
      <c r="D73" s="46" t="s">
        <v>36</v>
      </c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102"/>
      <c r="U73" s="139" t="str">
        <f>IFERROR((P73/K73)^(1/(P$2-K$2))-1,"")</f>
        <v/>
      </c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</row>
    <row r="74" spans="1:38" ht="15" customHeight="1" collapsed="1">
      <c r="A74" s="39"/>
      <c r="B74" s="39"/>
      <c r="C74" s="39"/>
      <c r="D74" s="47" t="s">
        <v>37</v>
      </c>
      <c r="E74" s="108">
        <f>SUM(E72:E73)</f>
        <v>0</v>
      </c>
      <c r="F74" s="108">
        <f t="shared" ref="F74:J74" si="56">SUM(F72:F73)</f>
        <v>0</v>
      </c>
      <c r="G74" s="108">
        <f t="shared" si="56"/>
        <v>0</v>
      </c>
      <c r="H74" s="108">
        <f t="shared" si="56"/>
        <v>0</v>
      </c>
      <c r="I74" s="108">
        <f t="shared" si="56"/>
        <v>0</v>
      </c>
      <c r="J74" s="108">
        <f t="shared" si="56"/>
        <v>0</v>
      </c>
      <c r="K74" s="42"/>
      <c r="L74" s="42"/>
      <c r="M74" s="42"/>
      <c r="N74" s="42"/>
      <c r="O74" s="42"/>
      <c r="P74" s="42"/>
      <c r="Q74" s="42"/>
      <c r="R74" s="42"/>
      <c r="S74" s="42"/>
      <c r="T74" s="102"/>
      <c r="U74" s="107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</row>
    <row r="75" spans="1:38" ht="15" customHeight="1">
      <c r="A75" s="39"/>
      <c r="B75" s="39"/>
      <c r="C75" s="39"/>
      <c r="D75" s="45"/>
      <c r="E75" s="109"/>
      <c r="F75" s="109"/>
      <c r="G75" s="109"/>
      <c r="H75" s="109"/>
      <c r="I75" s="109"/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2"/>
      <c r="U75" s="107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</row>
    <row r="76" spans="1:38" ht="15" customHeight="1">
      <c r="A76" s="1"/>
      <c r="B76" s="1"/>
      <c r="C76" s="1"/>
      <c r="D76" s="48" t="s">
        <v>9</v>
      </c>
      <c r="E76" s="110">
        <f t="shared" ref="E76:N76" si="57">+IFERROR(E74+E69,"")</f>
        <v>0</v>
      </c>
      <c r="F76" s="110">
        <f t="shared" si="57"/>
        <v>0</v>
      </c>
      <c r="G76" s="110">
        <f t="shared" si="57"/>
        <v>0</v>
      </c>
      <c r="H76" s="110">
        <f t="shared" si="57"/>
        <v>0</v>
      </c>
      <c r="I76" s="110">
        <f t="shared" si="57"/>
        <v>0</v>
      </c>
      <c r="J76" s="110">
        <f t="shared" si="57"/>
        <v>0</v>
      </c>
      <c r="K76" s="110">
        <f t="shared" si="57"/>
        <v>0</v>
      </c>
      <c r="L76" s="110">
        <f t="shared" si="57"/>
        <v>0</v>
      </c>
      <c r="M76" s="110">
        <f t="shared" si="57"/>
        <v>0</v>
      </c>
      <c r="N76" s="110">
        <f t="shared" si="57"/>
        <v>0</v>
      </c>
      <c r="O76" s="110">
        <f t="shared" ref="O76:S76" si="58">+IFERROR(O74+O69,"")</f>
        <v>0</v>
      </c>
      <c r="P76" s="110">
        <f t="shared" si="58"/>
        <v>0</v>
      </c>
      <c r="Q76" s="110">
        <f t="shared" si="58"/>
        <v>0</v>
      </c>
      <c r="R76" s="110">
        <f t="shared" si="58"/>
        <v>0</v>
      </c>
      <c r="S76" s="110">
        <f t="shared" si="58"/>
        <v>0</v>
      </c>
      <c r="T76" s="94"/>
      <c r="U76" s="104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" customHeight="1">
      <c r="A77" s="1"/>
      <c r="B77" s="1"/>
      <c r="C77" s="1"/>
      <c r="D77" s="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94"/>
      <c r="U77" s="94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" customHeight="1">
      <c r="A78" s="39"/>
      <c r="B78" s="39"/>
      <c r="C78" s="39"/>
      <c r="D78" s="46" t="s">
        <v>38</v>
      </c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102"/>
      <c r="U78" s="139" t="str">
        <f>IFERROR((P78/K78)^(1/(P$2-K$2))-1,"")</f>
        <v/>
      </c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</row>
    <row r="79" spans="1:38" ht="15" customHeight="1">
      <c r="A79" s="49"/>
      <c r="B79" s="49"/>
      <c r="C79" s="49"/>
      <c r="D79" s="46" t="s">
        <v>39</v>
      </c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112"/>
      <c r="U79" s="139" t="str">
        <f>IFERROR((P79/K79)^(1/(P$2-K$2))-1,"")</f>
        <v/>
      </c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</row>
    <row r="80" spans="1:38" ht="15" customHeight="1">
      <c r="A80" s="39"/>
      <c r="B80" s="39"/>
      <c r="C80" s="39"/>
      <c r="D80" s="47" t="s">
        <v>12</v>
      </c>
      <c r="E80" s="110">
        <f t="shared" ref="E80:O80" si="59">+SUM(E78:E79)</f>
        <v>0</v>
      </c>
      <c r="F80" s="110">
        <f t="shared" si="59"/>
        <v>0</v>
      </c>
      <c r="G80" s="110">
        <f t="shared" si="59"/>
        <v>0</v>
      </c>
      <c r="H80" s="110">
        <f t="shared" si="59"/>
        <v>0</v>
      </c>
      <c r="I80" s="110">
        <f t="shared" si="59"/>
        <v>0</v>
      </c>
      <c r="J80" s="110">
        <f t="shared" si="59"/>
        <v>0</v>
      </c>
      <c r="K80" s="110">
        <f t="shared" si="59"/>
        <v>0</v>
      </c>
      <c r="L80" s="110">
        <f t="shared" si="59"/>
        <v>0</v>
      </c>
      <c r="M80" s="110">
        <f t="shared" si="59"/>
        <v>0</v>
      </c>
      <c r="N80" s="110">
        <f t="shared" si="59"/>
        <v>0</v>
      </c>
      <c r="O80" s="110">
        <f t="shared" si="59"/>
        <v>0</v>
      </c>
      <c r="P80" s="110">
        <f>+SUM(P78:P79)</f>
        <v>0</v>
      </c>
      <c r="Q80" s="110">
        <f t="shared" ref="Q80:S80" si="60">+SUM(Q78:Q79)</f>
        <v>0</v>
      </c>
      <c r="R80" s="110">
        <f t="shared" si="60"/>
        <v>0</v>
      </c>
      <c r="S80" s="110">
        <f t="shared" si="60"/>
        <v>0</v>
      </c>
      <c r="T80" s="113"/>
      <c r="U80" s="107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</row>
    <row r="81" spans="1:38" ht="15" customHeight="1">
      <c r="A81" s="1"/>
      <c r="B81" s="1"/>
      <c r="C81" s="1"/>
      <c r="D81" s="41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5"/>
      <c r="U81" s="116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" customHeight="1">
      <c r="A82" s="39"/>
      <c r="B82" s="39"/>
      <c r="C82" s="39"/>
      <c r="D82" s="46" t="s">
        <v>40</v>
      </c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102"/>
      <c r="U82" s="139" t="str">
        <f>IFERROR((P82/K82)^(1/(P$2-K$2))-1,"")</f>
        <v/>
      </c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</row>
    <row r="83" spans="1:38" ht="15" customHeight="1">
      <c r="A83" s="39"/>
      <c r="B83" s="39"/>
      <c r="C83" s="39"/>
      <c r="D83" s="46" t="s">
        <v>41</v>
      </c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102"/>
      <c r="U83" s="139" t="str">
        <f>IFERROR((P83/K83)^(1/(P$2-K$2))-1,"")</f>
        <v/>
      </c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</row>
    <row r="84" spans="1:38" ht="15" customHeight="1">
      <c r="A84" s="39"/>
      <c r="B84" s="39"/>
      <c r="C84" s="39"/>
      <c r="D84" s="46" t="s">
        <v>42</v>
      </c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102"/>
      <c r="U84" s="139" t="str">
        <f>IFERROR((P84/K84)^(1/(P$2-K$2))-1,"")</f>
        <v/>
      </c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</row>
    <row r="85" spans="1:38" ht="15" customHeight="1">
      <c r="A85" s="1"/>
      <c r="B85" s="1"/>
      <c r="C85" s="1"/>
      <c r="D85" s="41" t="s">
        <v>20</v>
      </c>
      <c r="E85" s="105">
        <f t="shared" ref="E85:N85" si="61">IFERROR(E83+E82-E84,"")</f>
        <v>0</v>
      </c>
      <c r="F85" s="105">
        <f t="shared" si="61"/>
        <v>0</v>
      </c>
      <c r="G85" s="105">
        <f t="shared" si="61"/>
        <v>0</v>
      </c>
      <c r="H85" s="105">
        <f t="shared" si="61"/>
        <v>0</v>
      </c>
      <c r="I85" s="105">
        <f t="shared" si="61"/>
        <v>0</v>
      </c>
      <c r="J85" s="105">
        <f t="shared" si="61"/>
        <v>0</v>
      </c>
      <c r="K85" s="105">
        <f t="shared" si="61"/>
        <v>0</v>
      </c>
      <c r="L85" s="105">
        <f t="shared" si="61"/>
        <v>0</v>
      </c>
      <c r="M85" s="105">
        <f t="shared" si="61"/>
        <v>0</v>
      </c>
      <c r="N85" s="105">
        <f t="shared" si="61"/>
        <v>0</v>
      </c>
      <c r="O85" s="105">
        <f t="shared" ref="O85:S85" si="62">IFERROR(O83+O82-O84,"")</f>
        <v>0</v>
      </c>
      <c r="P85" s="105">
        <f t="shared" si="62"/>
        <v>0</v>
      </c>
      <c r="Q85" s="105">
        <f t="shared" si="62"/>
        <v>0</v>
      </c>
      <c r="R85" s="105">
        <f t="shared" si="62"/>
        <v>0</v>
      </c>
      <c r="S85" s="105">
        <f t="shared" si="62"/>
        <v>0</v>
      </c>
      <c r="T85" s="115"/>
      <c r="U85" s="116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" customHeight="1">
      <c r="A86" s="1"/>
      <c r="B86" s="1"/>
      <c r="C86" s="1"/>
      <c r="D86" s="41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5"/>
      <c r="U86" s="116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" customHeight="1">
      <c r="A87" s="39"/>
      <c r="B87" s="39"/>
      <c r="C87" s="39"/>
      <c r="D87" s="50" t="s">
        <v>43</v>
      </c>
      <c r="E87" s="42"/>
      <c r="F87" s="42"/>
      <c r="G87" s="42"/>
      <c r="H87" s="42"/>
      <c r="I87" s="42"/>
      <c r="J87" s="42"/>
      <c r="K87" s="141">
        <f t="shared" ref="K87:O87" si="63">K123</f>
        <v>0</v>
      </c>
      <c r="L87" s="141">
        <f t="shared" si="63"/>
        <v>0</v>
      </c>
      <c r="M87" s="141">
        <f t="shared" si="63"/>
        <v>0</v>
      </c>
      <c r="N87" s="141">
        <f t="shared" si="63"/>
        <v>0</v>
      </c>
      <c r="O87" s="141">
        <f t="shared" si="63"/>
        <v>0</v>
      </c>
      <c r="P87" s="141">
        <f>P123</f>
        <v>0</v>
      </c>
      <c r="Q87" s="42"/>
      <c r="R87" s="42"/>
      <c r="S87" s="42"/>
      <c r="T87" s="102"/>
      <c r="U87" s="139" t="str">
        <f>IFERROR((P87/K87)^(1/(P$2-K$2))-1,"")</f>
        <v/>
      </c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</row>
    <row r="88" spans="1:38" ht="15" customHeight="1">
      <c r="A88" s="39"/>
      <c r="B88" s="39"/>
      <c r="C88" s="39"/>
      <c r="D88" s="40" t="s">
        <v>44</v>
      </c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102"/>
      <c r="U88" s="139" t="str">
        <f>IFERROR((P88/K88)^(1/(P$2-K$2))-1,"")</f>
        <v/>
      </c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</row>
    <row r="89" spans="1:38" ht="15" customHeight="1">
      <c r="A89" s="1"/>
      <c r="B89" s="1"/>
      <c r="C89" s="1"/>
      <c r="D89" s="41" t="s">
        <v>16</v>
      </c>
      <c r="E89" s="106">
        <f t="shared" ref="E89:N89" si="64">+E87-E88</f>
        <v>0</v>
      </c>
      <c r="F89" s="106">
        <f t="shared" si="64"/>
        <v>0</v>
      </c>
      <c r="G89" s="106">
        <f t="shared" si="64"/>
        <v>0</v>
      </c>
      <c r="H89" s="106">
        <f t="shared" si="64"/>
        <v>0</v>
      </c>
      <c r="I89" s="106">
        <f t="shared" si="64"/>
        <v>0</v>
      </c>
      <c r="J89" s="106">
        <f t="shared" si="64"/>
        <v>0</v>
      </c>
      <c r="K89" s="106">
        <f t="shared" si="64"/>
        <v>0</v>
      </c>
      <c r="L89" s="106">
        <f t="shared" si="64"/>
        <v>0</v>
      </c>
      <c r="M89" s="106">
        <f t="shared" si="64"/>
        <v>0</v>
      </c>
      <c r="N89" s="106">
        <f t="shared" si="64"/>
        <v>0</v>
      </c>
      <c r="O89" s="106">
        <f t="shared" ref="O89:S89" si="65">+O87-O88</f>
        <v>0</v>
      </c>
      <c r="P89" s="106">
        <f t="shared" si="65"/>
        <v>0</v>
      </c>
      <c r="Q89" s="106">
        <f t="shared" si="65"/>
        <v>0</v>
      </c>
      <c r="R89" s="106">
        <f t="shared" si="65"/>
        <v>0</v>
      </c>
      <c r="S89" s="106">
        <f t="shared" si="65"/>
        <v>0</v>
      </c>
      <c r="T89" s="115"/>
      <c r="U89" s="116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" customHeight="1">
      <c r="A90" s="1"/>
      <c r="B90" s="1"/>
      <c r="C90" s="1"/>
      <c r="D90" s="41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94"/>
      <c r="U90" s="104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" hidden="1" customHeight="1" outlineLevel="1">
      <c r="A91" s="39"/>
      <c r="B91" s="39"/>
      <c r="C91" s="39"/>
      <c r="D91" s="46" t="s">
        <v>45</v>
      </c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102"/>
      <c r="U91" s="139" t="str">
        <f>IFERROR((P91/K91)^(1/(P$2-K$2))-1,"")</f>
        <v/>
      </c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</row>
    <row r="92" spans="1:38" ht="15" hidden="1" customHeight="1" outlineLevel="1">
      <c r="A92" s="39"/>
      <c r="B92" s="39"/>
      <c r="C92" s="39"/>
      <c r="D92" s="46" t="s">
        <v>46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102"/>
      <c r="U92" s="139" t="str">
        <f>IFERROR((P92/K92)^(1/(P$2-K$2))-1,"")</f>
        <v/>
      </c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</row>
    <row r="93" spans="1:38" ht="15" customHeight="1" collapsed="1">
      <c r="A93" s="1"/>
      <c r="B93" s="1"/>
      <c r="C93" s="1"/>
      <c r="D93" s="41" t="s">
        <v>13</v>
      </c>
      <c r="E93" s="109">
        <f>SUM(E91:E92)</f>
        <v>0</v>
      </c>
      <c r="F93" s="108">
        <f t="shared" ref="F93:J93" si="66">SUM(F91:F92)</f>
        <v>0</v>
      </c>
      <c r="G93" s="108">
        <f t="shared" si="66"/>
        <v>0</v>
      </c>
      <c r="H93" s="108">
        <f t="shared" si="66"/>
        <v>0</v>
      </c>
      <c r="I93" s="108">
        <f t="shared" si="66"/>
        <v>0</v>
      </c>
      <c r="J93" s="108">
        <f t="shared" si="66"/>
        <v>0</v>
      </c>
      <c r="K93" s="42"/>
      <c r="L93" s="42"/>
      <c r="M93" s="42"/>
      <c r="N93" s="42"/>
      <c r="O93" s="42"/>
      <c r="P93" s="42"/>
      <c r="Q93" s="42"/>
      <c r="R93" s="42"/>
      <c r="S93" s="42"/>
      <c r="T93" s="94"/>
      <c r="U93" s="104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" customHeight="1">
      <c r="A94" s="1"/>
      <c r="B94" s="1"/>
      <c r="C94" s="1"/>
      <c r="D94" s="41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94"/>
      <c r="U94" s="140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" customHeight="1">
      <c r="A95" s="1"/>
      <c r="B95" s="1"/>
      <c r="C95" s="1"/>
      <c r="D95" s="44" t="s">
        <v>47</v>
      </c>
      <c r="E95" s="119"/>
      <c r="F95" s="119"/>
      <c r="G95" s="119"/>
      <c r="H95" s="119"/>
      <c r="I95" s="120"/>
      <c r="J95" s="120"/>
      <c r="K95" s="120"/>
      <c r="L95" s="119"/>
      <c r="M95" s="119"/>
      <c r="N95" s="119"/>
      <c r="O95" s="119"/>
      <c r="P95" s="119"/>
      <c r="Q95" s="119"/>
      <c r="R95" s="119"/>
      <c r="S95" s="119"/>
      <c r="T95" s="94"/>
      <c r="U95" s="116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" customHeight="1">
      <c r="A96" s="1"/>
      <c r="B96" s="1"/>
      <c r="C96" s="1"/>
      <c r="D96" s="52" t="s">
        <v>48</v>
      </c>
      <c r="E96" s="121"/>
      <c r="F96" s="121" t="str">
        <f t="shared" ref="F96:S96" si="67">IF(F95=0,"",IFERROR(F95/E95-1,""))</f>
        <v/>
      </c>
      <c r="G96" s="121" t="str">
        <f t="shared" si="67"/>
        <v/>
      </c>
      <c r="H96" s="121" t="str">
        <f t="shared" si="67"/>
        <v/>
      </c>
      <c r="I96" s="121" t="str">
        <f t="shared" si="67"/>
        <v/>
      </c>
      <c r="J96" s="121" t="str">
        <f t="shared" si="67"/>
        <v/>
      </c>
      <c r="K96" s="121" t="str">
        <f t="shared" si="67"/>
        <v/>
      </c>
      <c r="L96" s="121" t="str">
        <f t="shared" si="67"/>
        <v/>
      </c>
      <c r="M96" s="121" t="str">
        <f t="shared" si="67"/>
        <v/>
      </c>
      <c r="N96" s="121" t="str">
        <f t="shared" si="67"/>
        <v/>
      </c>
      <c r="O96" s="121" t="str">
        <f t="shared" si="67"/>
        <v/>
      </c>
      <c r="P96" s="121" t="str">
        <f t="shared" si="67"/>
        <v/>
      </c>
      <c r="Q96" s="121" t="str">
        <f t="shared" si="67"/>
        <v/>
      </c>
      <c r="R96" s="121" t="str">
        <f t="shared" si="67"/>
        <v/>
      </c>
      <c r="S96" s="121" t="str">
        <f t="shared" si="67"/>
        <v/>
      </c>
      <c r="T96" s="94"/>
      <c r="U96" s="116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>
      <c r="A97" s="1"/>
      <c r="B97" s="1"/>
      <c r="C97" s="1"/>
      <c r="D97" s="1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116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" customHeight="1">
      <c r="A98" s="1"/>
      <c r="B98" s="1"/>
      <c r="C98" s="1"/>
      <c r="D98" s="1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116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" customHeight="1">
      <c r="A99" s="43"/>
      <c r="B99" s="43"/>
      <c r="C99" s="13" t="s">
        <v>49</v>
      </c>
      <c r="D99" s="13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3"/>
      <c r="U99" s="124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</row>
    <row r="100" spans="1:38" ht="15" customHeight="1">
      <c r="A100" s="1"/>
      <c r="B100" s="1"/>
      <c r="C100" s="1"/>
      <c r="D100" s="53" t="s">
        <v>50</v>
      </c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94"/>
      <c r="U100" s="104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" customHeight="1">
      <c r="A101" s="1"/>
      <c r="B101" s="1"/>
      <c r="C101" s="1"/>
      <c r="D101" s="53" t="s">
        <v>51</v>
      </c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94"/>
      <c r="U101" s="104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" customHeight="1">
      <c r="A102" s="1"/>
      <c r="B102" s="1"/>
      <c r="C102" s="1"/>
      <c r="D102" s="53" t="s">
        <v>52</v>
      </c>
      <c r="E102" s="125">
        <f t="shared" ref="E102:S102" si="68">+IF(AND(E114&lt;E76,E114&lt;&gt;""),-E114+E76+E100,0)</f>
        <v>0</v>
      </c>
      <c r="F102" s="125">
        <f t="shared" si="68"/>
        <v>0</v>
      </c>
      <c r="G102" s="125">
        <f t="shared" si="68"/>
        <v>0</v>
      </c>
      <c r="H102" s="125">
        <f t="shared" si="68"/>
        <v>0</v>
      </c>
      <c r="I102" s="125">
        <f t="shared" si="68"/>
        <v>0</v>
      </c>
      <c r="J102" s="125">
        <f t="shared" si="68"/>
        <v>0</v>
      </c>
      <c r="K102" s="125">
        <f t="shared" si="68"/>
        <v>0</v>
      </c>
      <c r="L102" s="125">
        <f t="shared" si="68"/>
        <v>0</v>
      </c>
      <c r="M102" s="125">
        <f t="shared" si="68"/>
        <v>0</v>
      </c>
      <c r="N102" s="125">
        <f t="shared" si="68"/>
        <v>0</v>
      </c>
      <c r="O102" s="125">
        <f t="shared" si="68"/>
        <v>0</v>
      </c>
      <c r="P102" s="125">
        <f t="shared" si="68"/>
        <v>0</v>
      </c>
      <c r="Q102" s="125">
        <f t="shared" si="68"/>
        <v>0</v>
      </c>
      <c r="R102" s="125">
        <f t="shared" si="68"/>
        <v>0</v>
      </c>
      <c r="S102" s="125">
        <f t="shared" si="68"/>
        <v>0</v>
      </c>
      <c r="T102" s="94"/>
      <c r="U102" s="104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" customHeight="1">
      <c r="A103" s="1"/>
      <c r="B103" s="1"/>
      <c r="C103" s="1"/>
      <c r="D103" s="53" t="s">
        <v>53</v>
      </c>
      <c r="E103" s="125">
        <f t="shared" ref="E103:S103" si="69">+IF(AND(E114&gt;E76,E114&lt;&gt;""),E114-E76-E100,0)</f>
        <v>0</v>
      </c>
      <c r="F103" s="125">
        <f t="shared" si="69"/>
        <v>0</v>
      </c>
      <c r="G103" s="125">
        <f t="shared" si="69"/>
        <v>0</v>
      </c>
      <c r="H103" s="125">
        <f t="shared" si="69"/>
        <v>0</v>
      </c>
      <c r="I103" s="125">
        <f t="shared" si="69"/>
        <v>0</v>
      </c>
      <c r="J103" s="125">
        <f t="shared" si="69"/>
        <v>0</v>
      </c>
      <c r="K103" s="125">
        <f t="shared" si="69"/>
        <v>0</v>
      </c>
      <c r="L103" s="125">
        <f t="shared" si="69"/>
        <v>0</v>
      </c>
      <c r="M103" s="125">
        <f t="shared" si="69"/>
        <v>0</v>
      </c>
      <c r="N103" s="125">
        <f t="shared" si="69"/>
        <v>0</v>
      </c>
      <c r="O103" s="125">
        <f t="shared" si="69"/>
        <v>0</v>
      </c>
      <c r="P103" s="125">
        <f t="shared" si="69"/>
        <v>0</v>
      </c>
      <c r="Q103" s="125">
        <f t="shared" si="69"/>
        <v>0</v>
      </c>
      <c r="R103" s="125">
        <f t="shared" si="69"/>
        <v>0</v>
      </c>
      <c r="S103" s="125">
        <f t="shared" si="69"/>
        <v>0</v>
      </c>
      <c r="T103" s="94"/>
      <c r="U103" s="104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>
      <c r="A104" s="1"/>
      <c r="B104" s="1"/>
      <c r="C104" s="1"/>
      <c r="D104" s="1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116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" customHeight="1">
      <c r="A105" s="1"/>
      <c r="B105" s="1"/>
      <c r="C105" s="1"/>
      <c r="D105" s="1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116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" customHeight="1">
      <c r="A106" s="1"/>
      <c r="B106" s="1"/>
      <c r="C106" s="13" t="s">
        <v>54</v>
      </c>
      <c r="D106" s="13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3"/>
      <c r="U106" s="124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" customHeight="1">
      <c r="A107" s="1"/>
      <c r="B107" s="1"/>
      <c r="C107" s="1"/>
      <c r="D107" s="41" t="s">
        <v>8</v>
      </c>
      <c r="E107" s="105">
        <f t="shared" ref="E107:M107" si="70">E76+IFERROR(E103-E102,"")+E100</f>
        <v>0</v>
      </c>
      <c r="F107" s="105">
        <f t="shared" si="70"/>
        <v>0</v>
      </c>
      <c r="G107" s="105">
        <f t="shared" si="70"/>
        <v>0</v>
      </c>
      <c r="H107" s="105">
        <f t="shared" si="70"/>
        <v>0</v>
      </c>
      <c r="I107" s="105">
        <f t="shared" si="70"/>
        <v>0</v>
      </c>
      <c r="J107" s="105">
        <f t="shared" si="70"/>
        <v>0</v>
      </c>
      <c r="K107" s="105">
        <f t="shared" si="70"/>
        <v>0</v>
      </c>
      <c r="L107" s="105">
        <f t="shared" si="70"/>
        <v>0</v>
      </c>
      <c r="M107" s="105">
        <f t="shared" si="70"/>
        <v>0</v>
      </c>
      <c r="N107" s="105">
        <f>N76+IFERROR(N103-N102,"")+N100</f>
        <v>0</v>
      </c>
      <c r="O107" s="105">
        <f t="shared" ref="O107:S107" si="71">O76+IFERROR(O103-O102,"")+O100</f>
        <v>0</v>
      </c>
      <c r="P107" s="105">
        <f t="shared" si="71"/>
        <v>0</v>
      </c>
      <c r="Q107" s="105">
        <f t="shared" si="71"/>
        <v>0</v>
      </c>
      <c r="R107" s="105">
        <f t="shared" si="71"/>
        <v>0</v>
      </c>
      <c r="S107" s="105">
        <f t="shared" si="71"/>
        <v>0</v>
      </c>
      <c r="T107" s="94"/>
      <c r="U107" s="103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" customHeight="1">
      <c r="A108" s="1"/>
      <c r="B108" s="1"/>
      <c r="C108" s="1"/>
      <c r="D108" s="41" t="s">
        <v>10</v>
      </c>
      <c r="E108" s="105">
        <f t="shared" ref="E108:M108" si="72">E69+IFERROR(E100+E101-E102+E103,"")</f>
        <v>0</v>
      </c>
      <c r="F108" s="105">
        <f t="shared" si="72"/>
        <v>0</v>
      </c>
      <c r="G108" s="105">
        <f t="shared" si="72"/>
        <v>0</v>
      </c>
      <c r="H108" s="105">
        <f t="shared" si="72"/>
        <v>0</v>
      </c>
      <c r="I108" s="105">
        <f t="shared" si="72"/>
        <v>0</v>
      </c>
      <c r="J108" s="105">
        <f t="shared" si="72"/>
        <v>0</v>
      </c>
      <c r="K108" s="105">
        <f t="shared" si="72"/>
        <v>0</v>
      </c>
      <c r="L108" s="105">
        <f t="shared" si="72"/>
        <v>0</v>
      </c>
      <c r="M108" s="105">
        <f t="shared" si="72"/>
        <v>0</v>
      </c>
      <c r="N108" s="105">
        <f>N69+IFERROR(N100+N101-N102+N103,"")</f>
        <v>0</v>
      </c>
      <c r="O108" s="105">
        <f t="shared" ref="O108:S108" si="73">O69+IFERROR(O100+O101-O102+O103,"")</f>
        <v>0</v>
      </c>
      <c r="P108" s="105">
        <f t="shared" si="73"/>
        <v>0</v>
      </c>
      <c r="Q108" s="105">
        <f t="shared" si="73"/>
        <v>0</v>
      </c>
      <c r="R108" s="105">
        <f t="shared" si="73"/>
        <v>0</v>
      </c>
      <c r="S108" s="105">
        <f t="shared" si="73"/>
        <v>0</v>
      </c>
      <c r="T108" s="94"/>
      <c r="U108" s="103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" customHeight="1">
      <c r="A109" s="1"/>
      <c r="B109" s="1"/>
      <c r="C109" s="1"/>
      <c r="D109" s="1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126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" customHeight="1">
      <c r="A110" s="1"/>
      <c r="B110" s="1"/>
      <c r="C110" s="1"/>
      <c r="D110" s="1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116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" customHeight="1">
      <c r="A111" s="1"/>
      <c r="B111" s="4" t="s">
        <v>55</v>
      </c>
      <c r="C111" s="4"/>
      <c r="D111" s="4"/>
      <c r="E111" s="127"/>
      <c r="F111" s="127"/>
      <c r="G111" s="127"/>
      <c r="H111" s="127"/>
      <c r="I111" s="127"/>
      <c r="J111" s="127"/>
      <c r="K111" s="127"/>
      <c r="L111" s="128" t="s">
        <v>27</v>
      </c>
      <c r="M111" s="128" t="s">
        <v>27</v>
      </c>
      <c r="N111" s="128"/>
      <c r="O111" s="128"/>
      <c r="P111" s="128"/>
      <c r="Q111" s="128"/>
      <c r="R111" s="128"/>
      <c r="S111" s="128"/>
      <c r="T111" s="129"/>
      <c r="U111" s="130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" customHeight="1">
      <c r="A112" s="1"/>
      <c r="B112" s="1"/>
      <c r="C112" s="1"/>
      <c r="D112" s="1"/>
      <c r="E112" s="131"/>
      <c r="F112" s="131"/>
      <c r="G112" s="132"/>
      <c r="H112" s="132"/>
      <c r="I112" s="132"/>
      <c r="J112" s="132"/>
      <c r="K112" s="132"/>
      <c r="L112" s="131"/>
      <c r="M112" s="131"/>
      <c r="N112" s="131"/>
      <c r="O112" s="131"/>
      <c r="P112" s="131"/>
      <c r="Q112" s="131"/>
      <c r="R112" s="131"/>
      <c r="S112" s="131"/>
      <c r="T112" s="94"/>
      <c r="U112" s="116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" customHeight="1">
      <c r="A113" s="1"/>
      <c r="B113" s="1"/>
      <c r="C113" s="1"/>
      <c r="D113" s="54" t="s">
        <v>9</v>
      </c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116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" customHeight="1">
      <c r="A114" s="1"/>
      <c r="B114" s="1"/>
      <c r="C114" s="1"/>
      <c r="D114" s="46" t="s">
        <v>9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94"/>
      <c r="U114" s="116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" customHeight="1">
      <c r="A115" s="1"/>
      <c r="B115" s="1"/>
      <c r="C115" s="1"/>
      <c r="D115" s="45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94"/>
      <c r="U115" s="116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" customHeight="1">
      <c r="A116" s="1"/>
      <c r="B116" s="1"/>
      <c r="C116" s="1"/>
      <c r="D116" s="55" t="s">
        <v>43</v>
      </c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94"/>
      <c r="U116" s="116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" customHeight="1">
      <c r="A117" s="1"/>
      <c r="B117" s="1"/>
      <c r="C117" s="1"/>
      <c r="D117" s="46" t="s">
        <v>56</v>
      </c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94"/>
      <c r="U117" s="116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" customHeight="1">
      <c r="A118" s="1"/>
      <c r="B118" s="1"/>
      <c r="C118" s="1"/>
      <c r="D118" s="46" t="s">
        <v>57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94"/>
      <c r="U118" s="116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" hidden="1" customHeight="1" outlineLevel="1">
      <c r="A119" s="1"/>
      <c r="B119" s="1"/>
      <c r="C119" s="1"/>
      <c r="D119" s="56" t="s">
        <v>58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94"/>
      <c r="U119" s="116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" customHeight="1" collapsed="1">
      <c r="A120" s="1"/>
      <c r="B120" s="1"/>
      <c r="C120" s="1"/>
      <c r="D120" s="46" t="s">
        <v>59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94"/>
      <c r="U120" s="116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" customHeight="1">
      <c r="A121" s="1"/>
      <c r="B121" s="1"/>
      <c r="C121" s="1"/>
      <c r="D121" s="46" t="s">
        <v>60</v>
      </c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94"/>
      <c r="U121" s="116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" hidden="1" customHeight="1" outlineLevel="1">
      <c r="A122" s="1"/>
      <c r="B122" s="1"/>
      <c r="C122" s="1"/>
      <c r="D122" s="56" t="s">
        <v>61</v>
      </c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94"/>
      <c r="U122" s="116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" customHeight="1" collapsed="1">
      <c r="A123" s="1"/>
      <c r="B123" s="1"/>
      <c r="C123" s="1"/>
      <c r="D123" s="41" t="s">
        <v>62</v>
      </c>
      <c r="E123" s="133">
        <f t="shared" ref="E123:J123" si="74">SUM(E117:E122)</f>
        <v>0</v>
      </c>
      <c r="F123" s="133">
        <f t="shared" si="74"/>
        <v>0</v>
      </c>
      <c r="G123" s="133">
        <f t="shared" si="74"/>
        <v>0</v>
      </c>
      <c r="H123" s="133">
        <f t="shared" si="74"/>
        <v>0</v>
      </c>
      <c r="I123" s="133">
        <f t="shared" si="74"/>
        <v>0</v>
      </c>
      <c r="J123" s="133">
        <f t="shared" si="74"/>
        <v>0</v>
      </c>
      <c r="K123" s="133">
        <f>SUM(K117:K122)</f>
        <v>0</v>
      </c>
      <c r="L123" s="133">
        <f t="shared" ref="L123:P123" si="75">SUM(L117:L122)</f>
        <v>0</v>
      </c>
      <c r="M123" s="133">
        <f t="shared" si="75"/>
        <v>0</v>
      </c>
      <c r="N123" s="133">
        <f t="shared" si="75"/>
        <v>0</v>
      </c>
      <c r="O123" s="133">
        <f t="shared" si="75"/>
        <v>0</v>
      </c>
      <c r="P123" s="133">
        <f t="shared" si="75"/>
        <v>0</v>
      </c>
      <c r="Q123" s="133">
        <f t="shared" ref="Q123:S123" si="76">SUM(Q117:Q122)</f>
        <v>0</v>
      </c>
      <c r="R123" s="133">
        <f t="shared" si="76"/>
        <v>0</v>
      </c>
      <c r="S123" s="133">
        <f t="shared" si="76"/>
        <v>0</v>
      </c>
      <c r="T123" s="94"/>
      <c r="U123" s="116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" customHeight="1">
      <c r="A124" s="1"/>
      <c r="B124" s="1"/>
      <c r="C124" s="1"/>
      <c r="D124" s="57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94"/>
      <c r="U124" s="116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" customHeight="1">
      <c r="A125" s="1"/>
      <c r="B125" s="1"/>
      <c r="C125" s="1"/>
      <c r="D125" s="55" t="s">
        <v>63</v>
      </c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94"/>
      <c r="U125" s="116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" customHeight="1">
      <c r="A126" s="1"/>
      <c r="B126" s="1"/>
      <c r="C126" s="1"/>
      <c r="D126" s="46" t="s">
        <v>64</v>
      </c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94"/>
      <c r="U126" s="116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" customHeight="1">
      <c r="A127" s="1"/>
      <c r="B127" s="1"/>
      <c r="C127" s="1"/>
      <c r="D127" s="46" t="s">
        <v>65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94"/>
      <c r="U127" s="116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" customHeight="1">
      <c r="A128" s="1"/>
      <c r="B128" s="1"/>
      <c r="C128" s="1"/>
      <c r="D128" s="41" t="s">
        <v>62</v>
      </c>
      <c r="E128" s="111">
        <f t="shared" ref="E128:N128" si="77">SUM(E126:E127)</f>
        <v>0</v>
      </c>
      <c r="F128" s="111">
        <f t="shared" si="77"/>
        <v>0</v>
      </c>
      <c r="G128" s="111">
        <f t="shared" si="77"/>
        <v>0</v>
      </c>
      <c r="H128" s="111">
        <f t="shared" si="77"/>
        <v>0</v>
      </c>
      <c r="I128" s="111">
        <f t="shared" si="77"/>
        <v>0</v>
      </c>
      <c r="J128" s="111">
        <f t="shared" si="77"/>
        <v>0</v>
      </c>
      <c r="K128" s="111">
        <f t="shared" si="77"/>
        <v>0</v>
      </c>
      <c r="L128" s="111">
        <f t="shared" si="77"/>
        <v>0</v>
      </c>
      <c r="M128" s="111">
        <f t="shared" si="77"/>
        <v>0</v>
      </c>
      <c r="N128" s="111">
        <f t="shared" si="77"/>
        <v>0</v>
      </c>
      <c r="O128" s="111">
        <f t="shared" ref="O128:S128" si="78">SUM(O126:O127)</f>
        <v>0</v>
      </c>
      <c r="P128" s="111">
        <f t="shared" si="78"/>
        <v>0</v>
      </c>
      <c r="Q128" s="111">
        <f t="shared" si="78"/>
        <v>0</v>
      </c>
      <c r="R128" s="111">
        <f t="shared" si="78"/>
        <v>0</v>
      </c>
      <c r="S128" s="111">
        <f t="shared" si="78"/>
        <v>0</v>
      </c>
      <c r="T128" s="94"/>
      <c r="U128" s="116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" customHeight="1">
      <c r="A129" s="1"/>
      <c r="B129" s="1"/>
      <c r="C129" s="1"/>
      <c r="D129" s="1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116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" hidden="1" customHeight="1" outlineLevel="1">
      <c r="A130" s="1"/>
      <c r="B130" s="1"/>
      <c r="C130" s="1"/>
      <c r="D130" s="54" t="s">
        <v>66</v>
      </c>
      <c r="E130" s="94"/>
      <c r="F130" s="94"/>
      <c r="G130" s="13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116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" hidden="1" customHeight="1" outlineLevel="1">
      <c r="A131" s="1"/>
      <c r="B131" s="1"/>
      <c r="C131" s="1"/>
      <c r="D131" s="1" t="s">
        <v>67</v>
      </c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94"/>
      <c r="U131" s="116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" hidden="1" customHeight="1" outlineLevel="1">
      <c r="A132" s="1"/>
      <c r="B132" s="1"/>
      <c r="C132" s="1"/>
      <c r="D132" s="1" t="s">
        <v>68</v>
      </c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94"/>
      <c r="U132" s="116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" hidden="1" customHeight="1" outlineLevel="1">
      <c r="A133" s="1"/>
      <c r="B133" s="1"/>
      <c r="C133" s="1"/>
      <c r="D133" s="41" t="s">
        <v>69</v>
      </c>
      <c r="E133" s="136" t="str">
        <f t="shared" ref="E133:N133" si="79">IF(AND(E131&lt;&gt;0,E132&lt;&gt;0),(E132-E131+1)/365,"")</f>
        <v/>
      </c>
      <c r="F133" s="136" t="str">
        <f t="shared" si="79"/>
        <v/>
      </c>
      <c r="G133" s="136" t="str">
        <f t="shared" si="79"/>
        <v/>
      </c>
      <c r="H133" s="136" t="str">
        <f t="shared" si="79"/>
        <v/>
      </c>
      <c r="I133" s="136" t="str">
        <f t="shared" si="79"/>
        <v/>
      </c>
      <c r="J133" s="136" t="str">
        <f t="shared" si="79"/>
        <v/>
      </c>
      <c r="K133" s="136" t="str">
        <f t="shared" si="79"/>
        <v/>
      </c>
      <c r="L133" s="136" t="str">
        <f t="shared" si="79"/>
        <v/>
      </c>
      <c r="M133" s="136" t="str">
        <f t="shared" si="79"/>
        <v/>
      </c>
      <c r="N133" s="136" t="str">
        <f t="shared" si="79"/>
        <v/>
      </c>
      <c r="O133" s="136" t="str">
        <f t="shared" ref="O133:S133" si="80">IF(AND(O131&lt;&gt;0,O132&lt;&gt;0),(O132-O131+1)/365,"")</f>
        <v/>
      </c>
      <c r="P133" s="136" t="str">
        <f t="shared" si="80"/>
        <v/>
      </c>
      <c r="Q133" s="136" t="str">
        <f t="shared" si="80"/>
        <v/>
      </c>
      <c r="R133" s="136" t="str">
        <f t="shared" si="80"/>
        <v/>
      </c>
      <c r="S133" s="136" t="str">
        <f t="shared" si="80"/>
        <v/>
      </c>
      <c r="T133" s="94"/>
      <c r="U133" s="116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" hidden="1" customHeight="1" outlineLevel="1">
      <c r="A134" s="1"/>
      <c r="B134" s="1"/>
      <c r="C134" s="1"/>
      <c r="D134" s="41" t="s">
        <v>70</v>
      </c>
      <c r="E134" s="137" t="str">
        <f t="shared" ref="E134:N134" si="81">IF(E133&lt;&gt;"","FY"&amp;E2&amp;": the Company reported for the period from "&amp;TEXT(E131,"dd-mm")&amp;" to "&amp;TEXT(E132,"dd-mm")&amp;". Figures have been annualised to reflect the full-year effect, assuming no seasonality.","")</f>
        <v/>
      </c>
      <c r="F134" s="137" t="str">
        <f t="shared" si="81"/>
        <v/>
      </c>
      <c r="G134" s="137" t="str">
        <f t="shared" si="81"/>
        <v/>
      </c>
      <c r="H134" s="137" t="str">
        <f t="shared" si="81"/>
        <v/>
      </c>
      <c r="I134" s="137" t="str">
        <f t="shared" si="81"/>
        <v/>
      </c>
      <c r="J134" s="137" t="str">
        <f t="shared" si="81"/>
        <v/>
      </c>
      <c r="K134" s="137" t="str">
        <f t="shared" si="81"/>
        <v/>
      </c>
      <c r="L134" s="137" t="str">
        <f t="shared" si="81"/>
        <v/>
      </c>
      <c r="M134" s="137" t="str">
        <f t="shared" si="81"/>
        <v/>
      </c>
      <c r="N134" s="137" t="str">
        <f t="shared" si="81"/>
        <v/>
      </c>
      <c r="O134" s="137" t="str">
        <f t="shared" ref="O134:S134" si="82">IF(O133&lt;&gt;"","FY"&amp;O2&amp;": the Company reported for the period from "&amp;TEXT(O131,"dd-mm")&amp;" to "&amp;TEXT(O132,"dd-mm")&amp;". Figures have been annualised to reflect the full-year effect, assuming no seasonality.","")</f>
        <v/>
      </c>
      <c r="P134" s="137" t="str">
        <f t="shared" si="82"/>
        <v/>
      </c>
      <c r="Q134" s="137" t="str">
        <f t="shared" si="82"/>
        <v/>
      </c>
      <c r="R134" s="137" t="str">
        <f t="shared" si="82"/>
        <v/>
      </c>
      <c r="S134" s="137" t="str">
        <f t="shared" si="82"/>
        <v/>
      </c>
      <c r="T134" s="94"/>
      <c r="U134" s="116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" hidden="1" customHeight="1" outlineLevel="1">
      <c r="A135" s="1"/>
      <c r="B135" s="1"/>
      <c r="C135" s="1"/>
      <c r="D135" s="41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94"/>
      <c r="U135" s="116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" hidden="1" customHeight="1" outlineLevel="1">
      <c r="A136" s="1"/>
      <c r="B136" s="1"/>
      <c r="C136" s="1"/>
      <c r="D136" s="40" t="s">
        <v>29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94"/>
      <c r="U136" s="116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" hidden="1" customHeight="1" outlineLevel="1">
      <c r="A137" s="1"/>
      <c r="B137" s="1"/>
      <c r="C137" s="1"/>
      <c r="D137" s="40" t="s">
        <v>30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94"/>
      <c r="U137" s="116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" hidden="1" customHeight="1" outlineLevel="1">
      <c r="A138" s="1"/>
      <c r="B138" s="1"/>
      <c r="C138" s="1"/>
      <c r="D138" s="41" t="s">
        <v>4</v>
      </c>
      <c r="E138" s="105">
        <f t="shared" ref="E138:N138" si="83">+IFERROR(E136+E137,"")</f>
        <v>0</v>
      </c>
      <c r="F138" s="105">
        <f t="shared" si="83"/>
        <v>0</v>
      </c>
      <c r="G138" s="105">
        <f t="shared" si="83"/>
        <v>0</v>
      </c>
      <c r="H138" s="105">
        <f t="shared" si="83"/>
        <v>0</v>
      </c>
      <c r="I138" s="105">
        <f t="shared" si="83"/>
        <v>0</v>
      </c>
      <c r="J138" s="105">
        <f t="shared" si="83"/>
        <v>0</v>
      </c>
      <c r="K138" s="105">
        <f t="shared" si="83"/>
        <v>0</v>
      </c>
      <c r="L138" s="105">
        <f t="shared" si="83"/>
        <v>0</v>
      </c>
      <c r="M138" s="105">
        <f t="shared" si="83"/>
        <v>0</v>
      </c>
      <c r="N138" s="105">
        <f t="shared" si="83"/>
        <v>0</v>
      </c>
      <c r="O138" s="105">
        <f t="shared" ref="O138:S138" si="84">+IFERROR(O136+O137,"")</f>
        <v>0</v>
      </c>
      <c r="P138" s="105">
        <f t="shared" si="84"/>
        <v>0</v>
      </c>
      <c r="Q138" s="105">
        <f t="shared" si="84"/>
        <v>0</v>
      </c>
      <c r="R138" s="105">
        <f t="shared" si="84"/>
        <v>0</v>
      </c>
      <c r="S138" s="105">
        <f t="shared" si="84"/>
        <v>0</v>
      </c>
      <c r="T138" s="94"/>
      <c r="U138" s="116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" hidden="1" customHeight="1" outlineLevel="1">
      <c r="A139" s="1"/>
      <c r="B139" s="1"/>
      <c r="C139" s="1"/>
      <c r="D139" s="41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94"/>
      <c r="U139" s="116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" hidden="1" customHeight="1" outlineLevel="2">
      <c r="A140" s="1"/>
      <c r="B140" s="1"/>
      <c r="C140" s="1"/>
      <c r="D140" s="40" t="s">
        <v>31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94"/>
      <c r="U140" s="116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" hidden="1" customHeight="1" outlineLevel="2">
      <c r="A141" s="1"/>
      <c r="B141" s="1"/>
      <c r="C141" s="1"/>
      <c r="D141" s="40" t="s">
        <v>32</v>
      </c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94"/>
      <c r="U141" s="116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" hidden="1" customHeight="1" outlineLevel="1">
      <c r="A142" s="1"/>
      <c r="B142" s="1"/>
      <c r="C142" s="1"/>
      <c r="D142" s="41" t="s">
        <v>6</v>
      </c>
      <c r="E142" s="105">
        <f t="shared" ref="E142:N142" si="85">E138-IFERROR(E140+E141,"")</f>
        <v>0</v>
      </c>
      <c r="F142" s="105">
        <f t="shared" si="85"/>
        <v>0</v>
      </c>
      <c r="G142" s="105">
        <f t="shared" si="85"/>
        <v>0</v>
      </c>
      <c r="H142" s="105">
        <f t="shared" si="85"/>
        <v>0</v>
      </c>
      <c r="I142" s="105">
        <f t="shared" si="85"/>
        <v>0</v>
      </c>
      <c r="J142" s="105">
        <f t="shared" si="85"/>
        <v>0</v>
      </c>
      <c r="K142" s="105">
        <f t="shared" si="85"/>
        <v>0</v>
      </c>
      <c r="L142" s="105">
        <f t="shared" si="85"/>
        <v>0</v>
      </c>
      <c r="M142" s="105">
        <f t="shared" si="85"/>
        <v>0</v>
      </c>
      <c r="N142" s="105">
        <f t="shared" si="85"/>
        <v>0</v>
      </c>
      <c r="O142" s="105">
        <f t="shared" ref="O142:S142" si="86">O138-IFERROR(O140+O141,"")</f>
        <v>0</v>
      </c>
      <c r="P142" s="105">
        <f t="shared" si="86"/>
        <v>0</v>
      </c>
      <c r="Q142" s="105">
        <f t="shared" si="86"/>
        <v>0</v>
      </c>
      <c r="R142" s="105">
        <f t="shared" si="86"/>
        <v>0</v>
      </c>
      <c r="S142" s="105">
        <f t="shared" si="86"/>
        <v>0</v>
      </c>
      <c r="T142" s="94"/>
      <c r="U142" s="116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" hidden="1" customHeight="1" outlineLevel="1">
      <c r="A143" s="1"/>
      <c r="B143" s="1"/>
      <c r="C143" s="1"/>
      <c r="D143" s="41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94"/>
      <c r="U143" s="116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" hidden="1" customHeight="1" outlineLevel="1">
      <c r="A144" s="1"/>
      <c r="B144" s="1"/>
      <c r="C144" s="1"/>
      <c r="D144" s="44" t="s">
        <v>33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94"/>
      <c r="U144" s="116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" hidden="1" customHeight="1" outlineLevel="1">
      <c r="A145" s="1"/>
      <c r="B145" s="1"/>
      <c r="C145" s="1"/>
      <c r="D145" s="45" t="s">
        <v>34</v>
      </c>
      <c r="E145" s="108">
        <f t="shared" ref="E145:N145" si="87">+E151-E147-E148</f>
        <v>0</v>
      </c>
      <c r="F145" s="108">
        <f t="shared" si="87"/>
        <v>0</v>
      </c>
      <c r="G145" s="108">
        <f t="shared" si="87"/>
        <v>0</v>
      </c>
      <c r="H145" s="108">
        <f t="shared" si="87"/>
        <v>0</v>
      </c>
      <c r="I145" s="108">
        <f t="shared" si="87"/>
        <v>0</v>
      </c>
      <c r="J145" s="108">
        <f t="shared" si="87"/>
        <v>0</v>
      </c>
      <c r="K145" s="108">
        <f t="shared" si="87"/>
        <v>0</v>
      </c>
      <c r="L145" s="108">
        <f t="shared" si="87"/>
        <v>0</v>
      </c>
      <c r="M145" s="108">
        <f t="shared" si="87"/>
        <v>0</v>
      </c>
      <c r="N145" s="108">
        <f t="shared" si="87"/>
        <v>0</v>
      </c>
      <c r="O145" s="108">
        <f t="shared" ref="O145:S145" si="88">+O151-O147-O148</f>
        <v>0</v>
      </c>
      <c r="P145" s="108">
        <f t="shared" si="88"/>
        <v>0</v>
      </c>
      <c r="Q145" s="108">
        <f t="shared" si="88"/>
        <v>0</v>
      </c>
      <c r="R145" s="108">
        <f t="shared" si="88"/>
        <v>0</v>
      </c>
      <c r="S145" s="108">
        <f t="shared" si="88"/>
        <v>0</v>
      </c>
      <c r="T145" s="94"/>
      <c r="U145" s="116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" hidden="1" customHeight="1" outlineLevel="1">
      <c r="A146" s="1"/>
      <c r="B146" s="1"/>
      <c r="C146" s="1"/>
      <c r="D146" s="41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94"/>
      <c r="U146" s="116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" hidden="1" customHeight="1" outlineLevel="2">
      <c r="A147" s="1"/>
      <c r="B147" s="1"/>
      <c r="C147" s="1"/>
      <c r="D147" s="46" t="s">
        <v>35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94"/>
      <c r="U147" s="116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" hidden="1" customHeight="1" outlineLevel="2">
      <c r="A148" s="1"/>
      <c r="B148" s="1"/>
      <c r="C148" s="1"/>
      <c r="D148" s="46" t="s">
        <v>36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94"/>
      <c r="U148" s="116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" hidden="1" customHeight="1" outlineLevel="1">
      <c r="A149" s="1"/>
      <c r="B149" s="1"/>
      <c r="C149" s="1"/>
      <c r="D149" s="47" t="s">
        <v>37</v>
      </c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94"/>
      <c r="U149" s="116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" hidden="1" customHeight="1" outlineLevel="1">
      <c r="A150" s="1"/>
      <c r="B150" s="1"/>
      <c r="C150" s="1"/>
      <c r="D150" s="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94"/>
      <c r="U150" s="116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" hidden="1" customHeight="1" outlineLevel="1">
      <c r="A151" s="1"/>
      <c r="B151" s="1"/>
      <c r="C151" s="1"/>
      <c r="D151" s="48" t="s">
        <v>9</v>
      </c>
      <c r="E151" s="110">
        <f t="shared" ref="E151:N151" si="89">+IFERROR(E149+E144,"")</f>
        <v>0</v>
      </c>
      <c r="F151" s="110">
        <f t="shared" si="89"/>
        <v>0</v>
      </c>
      <c r="G151" s="110">
        <f t="shared" si="89"/>
        <v>0</v>
      </c>
      <c r="H151" s="110">
        <f t="shared" si="89"/>
        <v>0</v>
      </c>
      <c r="I151" s="110">
        <f t="shared" si="89"/>
        <v>0</v>
      </c>
      <c r="J151" s="110">
        <f t="shared" si="89"/>
        <v>0</v>
      </c>
      <c r="K151" s="110">
        <f t="shared" si="89"/>
        <v>0</v>
      </c>
      <c r="L151" s="110">
        <f t="shared" si="89"/>
        <v>0</v>
      </c>
      <c r="M151" s="110">
        <f t="shared" si="89"/>
        <v>0</v>
      </c>
      <c r="N151" s="110">
        <f t="shared" si="89"/>
        <v>0</v>
      </c>
      <c r="O151" s="110">
        <f t="shared" ref="O151:S151" si="90">+IFERROR(O149+O144,"")</f>
        <v>0</v>
      </c>
      <c r="P151" s="110">
        <f t="shared" si="90"/>
        <v>0</v>
      </c>
      <c r="Q151" s="110">
        <f t="shared" si="90"/>
        <v>0</v>
      </c>
      <c r="R151" s="110">
        <f t="shared" si="90"/>
        <v>0</v>
      </c>
      <c r="S151" s="110">
        <f t="shared" si="90"/>
        <v>0</v>
      </c>
      <c r="T151" s="94"/>
      <c r="U151" s="116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" hidden="1" customHeight="1" outlineLevel="1">
      <c r="A152" s="1"/>
      <c r="B152" s="1"/>
      <c r="C152" s="1"/>
      <c r="D152" s="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94"/>
      <c r="U152" s="116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" hidden="1" customHeight="1" outlineLevel="1">
      <c r="A153" s="1"/>
      <c r="B153" s="1"/>
      <c r="C153" s="1"/>
      <c r="D153" s="46" t="s">
        <v>38</v>
      </c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94"/>
      <c r="U153" s="116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" hidden="1" customHeight="1" outlineLevel="1">
      <c r="A154" s="1"/>
      <c r="B154" s="1"/>
      <c r="C154" s="1"/>
      <c r="D154" s="46" t="s">
        <v>39</v>
      </c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94"/>
      <c r="U154" s="116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" hidden="1" customHeight="1" outlineLevel="1">
      <c r="A155" s="1"/>
      <c r="B155" s="1"/>
      <c r="C155" s="1"/>
      <c r="D155" s="47" t="s">
        <v>12</v>
      </c>
      <c r="E155" s="110">
        <f t="shared" ref="E155:N155" si="91">+SUM(E153:E154)</f>
        <v>0</v>
      </c>
      <c r="F155" s="110">
        <f t="shared" si="91"/>
        <v>0</v>
      </c>
      <c r="G155" s="110">
        <f t="shared" si="91"/>
        <v>0</v>
      </c>
      <c r="H155" s="110">
        <f t="shared" si="91"/>
        <v>0</v>
      </c>
      <c r="I155" s="110">
        <f t="shared" si="91"/>
        <v>0</v>
      </c>
      <c r="J155" s="110">
        <f t="shared" si="91"/>
        <v>0</v>
      </c>
      <c r="K155" s="110">
        <f t="shared" si="91"/>
        <v>0</v>
      </c>
      <c r="L155" s="110">
        <f t="shared" si="91"/>
        <v>0</v>
      </c>
      <c r="M155" s="110">
        <f t="shared" si="91"/>
        <v>0</v>
      </c>
      <c r="N155" s="110">
        <f t="shared" si="91"/>
        <v>0</v>
      </c>
      <c r="O155" s="110">
        <f t="shared" ref="O155:S155" si="92">+SUM(O153:O154)</f>
        <v>0</v>
      </c>
      <c r="P155" s="110">
        <f t="shared" si="92"/>
        <v>0</v>
      </c>
      <c r="Q155" s="110">
        <f t="shared" si="92"/>
        <v>0</v>
      </c>
      <c r="R155" s="110">
        <f t="shared" si="92"/>
        <v>0</v>
      </c>
      <c r="S155" s="110">
        <f t="shared" si="92"/>
        <v>0</v>
      </c>
      <c r="T155" s="94"/>
      <c r="U155" s="116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" hidden="1" customHeight="1" outlineLevel="1">
      <c r="A156" s="1"/>
      <c r="B156" s="1"/>
      <c r="C156" s="1"/>
      <c r="D156" s="41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94"/>
      <c r="U156" s="116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" hidden="1" customHeight="1" outlineLevel="1">
      <c r="A157" s="1"/>
      <c r="B157" s="1"/>
      <c r="C157" s="1"/>
      <c r="D157" s="46" t="s">
        <v>40</v>
      </c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94"/>
      <c r="U157" s="116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" hidden="1" customHeight="1" outlineLevel="1">
      <c r="A158" s="1"/>
      <c r="B158" s="1"/>
      <c r="C158" s="1"/>
      <c r="D158" s="46" t="s">
        <v>41</v>
      </c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94"/>
      <c r="U158" s="116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" hidden="1" customHeight="1" outlineLevel="1">
      <c r="A159" s="1"/>
      <c r="B159" s="1"/>
      <c r="C159" s="1"/>
      <c r="D159" s="46" t="s">
        <v>42</v>
      </c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94"/>
      <c r="U159" s="116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" hidden="1" customHeight="1" outlineLevel="1">
      <c r="A160" s="1"/>
      <c r="B160" s="1"/>
      <c r="C160" s="1"/>
      <c r="D160" s="41" t="s">
        <v>20</v>
      </c>
      <c r="E160" s="105">
        <f t="shared" ref="E160:N160" si="93">IFERROR(E158+E157-E159,"")</f>
        <v>0</v>
      </c>
      <c r="F160" s="105">
        <f t="shared" si="93"/>
        <v>0</v>
      </c>
      <c r="G160" s="105">
        <f t="shared" si="93"/>
        <v>0</v>
      </c>
      <c r="H160" s="105">
        <f t="shared" si="93"/>
        <v>0</v>
      </c>
      <c r="I160" s="105">
        <f t="shared" si="93"/>
        <v>0</v>
      </c>
      <c r="J160" s="105">
        <f t="shared" si="93"/>
        <v>0</v>
      </c>
      <c r="K160" s="105">
        <f t="shared" si="93"/>
        <v>0</v>
      </c>
      <c r="L160" s="105">
        <f t="shared" si="93"/>
        <v>0</v>
      </c>
      <c r="M160" s="105">
        <f t="shared" si="93"/>
        <v>0</v>
      </c>
      <c r="N160" s="105">
        <f t="shared" si="93"/>
        <v>0</v>
      </c>
      <c r="O160" s="105">
        <f t="shared" ref="O160:S160" si="94">IFERROR(O158+O157-O159,"")</f>
        <v>0</v>
      </c>
      <c r="P160" s="105">
        <f t="shared" si="94"/>
        <v>0</v>
      </c>
      <c r="Q160" s="105">
        <f t="shared" si="94"/>
        <v>0</v>
      </c>
      <c r="R160" s="105">
        <f t="shared" si="94"/>
        <v>0</v>
      </c>
      <c r="S160" s="105">
        <f t="shared" si="94"/>
        <v>0</v>
      </c>
      <c r="T160" s="94"/>
      <c r="U160" s="116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" hidden="1" customHeight="1" outlineLevel="1">
      <c r="A161" s="1"/>
      <c r="B161" s="1"/>
      <c r="C161" s="1"/>
      <c r="D161" s="41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94"/>
      <c r="U161" s="116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" hidden="1" customHeight="1" outlineLevel="1">
      <c r="A162" s="1"/>
      <c r="B162" s="1"/>
      <c r="C162" s="1"/>
      <c r="D162" s="50" t="s">
        <v>43</v>
      </c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94"/>
      <c r="U162" s="116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" hidden="1" customHeight="1" outlineLevel="1">
      <c r="A163" s="1"/>
      <c r="B163" s="1"/>
      <c r="C163" s="1"/>
      <c r="D163" s="40" t="s">
        <v>44</v>
      </c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94"/>
      <c r="U163" s="116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" hidden="1" customHeight="1" outlineLevel="1">
      <c r="A164" s="1"/>
      <c r="B164" s="1"/>
      <c r="C164" s="1"/>
      <c r="D164" s="41" t="s">
        <v>16</v>
      </c>
      <c r="E164" s="106">
        <f t="shared" ref="E164:N164" si="95">+E162-E163</f>
        <v>0</v>
      </c>
      <c r="F164" s="106">
        <f t="shared" si="95"/>
        <v>0</v>
      </c>
      <c r="G164" s="106">
        <f t="shared" si="95"/>
        <v>0</v>
      </c>
      <c r="H164" s="106">
        <f t="shared" si="95"/>
        <v>0</v>
      </c>
      <c r="I164" s="106">
        <f t="shared" si="95"/>
        <v>0</v>
      </c>
      <c r="J164" s="106">
        <f t="shared" si="95"/>
        <v>0</v>
      </c>
      <c r="K164" s="106">
        <f t="shared" si="95"/>
        <v>0</v>
      </c>
      <c r="L164" s="106">
        <f t="shared" si="95"/>
        <v>0</v>
      </c>
      <c r="M164" s="106">
        <f t="shared" si="95"/>
        <v>0</v>
      </c>
      <c r="N164" s="106">
        <f t="shared" si="95"/>
        <v>0</v>
      </c>
      <c r="O164" s="106">
        <f t="shared" ref="O164:S164" si="96">+O162-O163</f>
        <v>0</v>
      </c>
      <c r="P164" s="106">
        <f t="shared" si="96"/>
        <v>0</v>
      </c>
      <c r="Q164" s="106">
        <f t="shared" si="96"/>
        <v>0</v>
      </c>
      <c r="R164" s="106">
        <f t="shared" si="96"/>
        <v>0</v>
      </c>
      <c r="S164" s="106">
        <f t="shared" si="96"/>
        <v>0</v>
      </c>
      <c r="T164" s="94"/>
      <c r="U164" s="116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" hidden="1" customHeight="1" outlineLevel="1">
      <c r="A165" s="1"/>
      <c r="B165" s="1"/>
      <c r="C165" s="1"/>
      <c r="D165" s="41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94"/>
      <c r="U165" s="116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" hidden="1" customHeight="1" outlineLevel="2">
      <c r="A166" s="1"/>
      <c r="B166" s="1"/>
      <c r="C166" s="1"/>
      <c r="D166" s="46" t="s">
        <v>45</v>
      </c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94"/>
      <c r="U166" s="116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" hidden="1" customHeight="1" outlineLevel="2">
      <c r="A167" s="1"/>
      <c r="B167" s="1"/>
      <c r="C167" s="1"/>
      <c r="D167" s="46" t="s">
        <v>46</v>
      </c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94"/>
      <c r="U167" s="116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" hidden="1" customHeight="1" outlineLevel="1">
      <c r="A168" s="1"/>
      <c r="B168" s="1"/>
      <c r="C168" s="1"/>
      <c r="D168" s="41" t="s">
        <v>13</v>
      </c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94"/>
      <c r="U168" s="116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" hidden="1" customHeight="1" outlineLevel="1">
      <c r="A169" s="1"/>
      <c r="B169" s="1"/>
      <c r="C169" s="1"/>
      <c r="D169" s="41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94"/>
      <c r="U169" s="116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" hidden="1" customHeight="1" outlineLevel="1">
      <c r="A170" s="1"/>
      <c r="B170" s="1"/>
      <c r="C170" s="1"/>
      <c r="D170" s="44" t="s">
        <v>47</v>
      </c>
      <c r="E170" s="119"/>
      <c r="F170" s="119"/>
      <c r="G170" s="119"/>
      <c r="H170" s="119"/>
      <c r="I170" s="120"/>
      <c r="J170" s="120"/>
      <c r="K170" s="119"/>
      <c r="L170" s="119"/>
      <c r="M170" s="119"/>
      <c r="N170" s="119"/>
      <c r="O170" s="119"/>
      <c r="P170" s="119"/>
      <c r="Q170" s="119"/>
      <c r="R170" s="119"/>
      <c r="S170" s="119"/>
      <c r="T170" s="94"/>
      <c r="U170" s="116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" hidden="1" customHeight="1" outlineLevel="1">
      <c r="A171" s="1"/>
      <c r="B171" s="1"/>
      <c r="C171" s="1"/>
      <c r="D171" s="52" t="s">
        <v>48</v>
      </c>
      <c r="E171" s="121"/>
      <c r="F171" s="121" t="str">
        <f t="shared" ref="F171:S171" si="97">IF(F170=0,"",IFERROR(F170/E170-1,""))</f>
        <v/>
      </c>
      <c r="G171" s="121" t="str">
        <f t="shared" si="97"/>
        <v/>
      </c>
      <c r="H171" s="121" t="str">
        <f t="shared" si="97"/>
        <v/>
      </c>
      <c r="I171" s="121" t="str">
        <f t="shared" si="97"/>
        <v/>
      </c>
      <c r="J171" s="121" t="str">
        <f t="shared" si="97"/>
        <v/>
      </c>
      <c r="K171" s="121" t="str">
        <f t="shared" si="97"/>
        <v/>
      </c>
      <c r="L171" s="121" t="str">
        <f t="shared" si="97"/>
        <v/>
      </c>
      <c r="M171" s="121" t="str">
        <f t="shared" si="97"/>
        <v/>
      </c>
      <c r="N171" s="121" t="str">
        <f t="shared" si="97"/>
        <v/>
      </c>
      <c r="O171" s="121" t="str">
        <f t="shared" si="97"/>
        <v/>
      </c>
      <c r="P171" s="121" t="str">
        <f t="shared" si="97"/>
        <v/>
      </c>
      <c r="Q171" s="121" t="str">
        <f t="shared" si="97"/>
        <v/>
      </c>
      <c r="R171" s="121" t="str">
        <f t="shared" si="97"/>
        <v/>
      </c>
      <c r="S171" s="121" t="str">
        <f t="shared" si="97"/>
        <v/>
      </c>
      <c r="T171" s="94"/>
      <c r="U171" s="116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" hidden="1" customHeight="1" outlineLevel="1">
      <c r="A172" s="1"/>
      <c r="B172" s="1"/>
      <c r="C172" s="1"/>
      <c r="D172" s="1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116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" hidden="1" customHeight="1" outlineLevel="1">
      <c r="A173" s="1"/>
      <c r="B173" s="1"/>
      <c r="C173" s="1"/>
      <c r="D173" s="1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94"/>
      <c r="U173" s="116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" hidden="1" customHeight="1" outlineLevel="1">
      <c r="A174" s="1"/>
      <c r="B174" s="1"/>
      <c r="C174" s="13"/>
      <c r="D174" s="13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94"/>
      <c r="U174" s="116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" hidden="1" customHeight="1" outlineLevel="1">
      <c r="A175" s="1"/>
      <c r="B175" s="1"/>
      <c r="C175" s="1"/>
      <c r="D175" s="53" t="s">
        <v>50</v>
      </c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94"/>
      <c r="U175" s="116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" hidden="1" customHeight="1" outlineLevel="1">
      <c r="A176" s="1"/>
      <c r="B176" s="1"/>
      <c r="C176" s="1"/>
      <c r="D176" s="53" t="s">
        <v>51</v>
      </c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94"/>
      <c r="U176" s="116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" hidden="1" customHeight="1" outlineLevel="1">
      <c r="A177" s="1"/>
      <c r="B177" s="1"/>
      <c r="C177" s="1"/>
      <c r="D177" s="53" t="s">
        <v>52</v>
      </c>
      <c r="E177" s="125"/>
      <c r="F177" s="125"/>
      <c r="G177" s="125"/>
      <c r="H177" s="125"/>
      <c r="I177" s="125"/>
      <c r="J177" s="125"/>
      <c r="K177" s="42"/>
      <c r="L177" s="42"/>
      <c r="M177" s="42"/>
      <c r="N177" s="42"/>
      <c r="O177" s="42"/>
      <c r="P177" s="42"/>
      <c r="Q177" s="42"/>
      <c r="R177" s="42"/>
      <c r="S177" s="42"/>
      <c r="T177" s="94"/>
      <c r="U177" s="116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" hidden="1" customHeight="1" outlineLevel="1">
      <c r="A178" s="1"/>
      <c r="B178" s="1"/>
      <c r="C178" s="1"/>
      <c r="D178" s="53" t="s">
        <v>53</v>
      </c>
      <c r="E178" s="125"/>
      <c r="F178" s="125"/>
      <c r="G178" s="125"/>
      <c r="H178" s="125"/>
      <c r="I178" s="125"/>
      <c r="J178" s="125"/>
      <c r="K178" s="42"/>
      <c r="L178" s="42"/>
      <c r="M178" s="42"/>
      <c r="N178" s="42"/>
      <c r="O178" s="42"/>
      <c r="P178" s="42"/>
      <c r="Q178" s="42"/>
      <c r="R178" s="42"/>
      <c r="S178" s="42"/>
      <c r="T178" s="94"/>
      <c r="U178" s="116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 collapsed="1">
      <c r="A179" s="1"/>
      <c r="B179" s="1"/>
      <c r="C179" s="1"/>
      <c r="D179" s="1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116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3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3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3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3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3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3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3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3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3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3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3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3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3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3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3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3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3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3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3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3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3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3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3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3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3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3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3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3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3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3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3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3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3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3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3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3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3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3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3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3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3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3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3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3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3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3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3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3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3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3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3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3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3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3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3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3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3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3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3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3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3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3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3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3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3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3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3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3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3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3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3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3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3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3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3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3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3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3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3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3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3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3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3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3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3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3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3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3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3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3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3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3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3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3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3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3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3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3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3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3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3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3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3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3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3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3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3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3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3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3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3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3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3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3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3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3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3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3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3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3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3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3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3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3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3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3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3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3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3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3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3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3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3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3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3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3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3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3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3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3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3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3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3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3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3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3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3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3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3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3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3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3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3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3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3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3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3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3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3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3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3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3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3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3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3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3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3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3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3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3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3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3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3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3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3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3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3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3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3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3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3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3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3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3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3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3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3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3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3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3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3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3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3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3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3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3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3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3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3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3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3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3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3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3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3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3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3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3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3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3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3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3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3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3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3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3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3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3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3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3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3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3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3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3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3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3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3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3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3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3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3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3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3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3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3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3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3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3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3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3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3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3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3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3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3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3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3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3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3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3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3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3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3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3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3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3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3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3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3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3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3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3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3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3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3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3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3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3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3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3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3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3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3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3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3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3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3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3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3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3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3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3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3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3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3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3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3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3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3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3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3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3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3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3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3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3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3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3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3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3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3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3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3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3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3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3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3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3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3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3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3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3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3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3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3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3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3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3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3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3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3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3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3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3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3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3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3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3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3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3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3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3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3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3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3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3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3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3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3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3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3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3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3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3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3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3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3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3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3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3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3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3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3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3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3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3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3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3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3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3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3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3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3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3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3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3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3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3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3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3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3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3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3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3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3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3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3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3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3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3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3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3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3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3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3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3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3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3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3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3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3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3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3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3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3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3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3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3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3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3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3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3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3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3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3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3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3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3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3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3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3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3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3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3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3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3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3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3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3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3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3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3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3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3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3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3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3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3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3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3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3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3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3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3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3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3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3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3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3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3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3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3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3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3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3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3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3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3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3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3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3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3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3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3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3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3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3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3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3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3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3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3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3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3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3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3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3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3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3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3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3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3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3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3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3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3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3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3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3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3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3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3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3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3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3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3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3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3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3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3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3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3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3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3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3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3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3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3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3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3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3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3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3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3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3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3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3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3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3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3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3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3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3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3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3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3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3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3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3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3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3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3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3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3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3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3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3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3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3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3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3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3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3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3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3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3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3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3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3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3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3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3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3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3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3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3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3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3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3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3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3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3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3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3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3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3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3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3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3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3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3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3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3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3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3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3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3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3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3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3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3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3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3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3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3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3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3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3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3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3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3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3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3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3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3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3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3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3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3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3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3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3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3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3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3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3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3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3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3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3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3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3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3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3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3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3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3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3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3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3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3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3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3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3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3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3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3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3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3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3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3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3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3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3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3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3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3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3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3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3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3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3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3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3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3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3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3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3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3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3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3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3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3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3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3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3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3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3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3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3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3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3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3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3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3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3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3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3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3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3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3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3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3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3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3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3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3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3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3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3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3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3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3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3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3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3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3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3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3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3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3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3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3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3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3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3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3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3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3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3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3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3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3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3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3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3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3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3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3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3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3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3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3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3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3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3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3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3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3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3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3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3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3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3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3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3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3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3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3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3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3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3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3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3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3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3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3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3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3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3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3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3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3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3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3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3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3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3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3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3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3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3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3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3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3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3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3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3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3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3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3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3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3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3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3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3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3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3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3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3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3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3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3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3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3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3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3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3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3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3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3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3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3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3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3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3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3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3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3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3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3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3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3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3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3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3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3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3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3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3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3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3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3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3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3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3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3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3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3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3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3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3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</sheetData>
  <conditionalFormatting sqref="E42:S55">
    <cfRule type="cellIs" dxfId="0" priority="1" operator="equal">
      <formula>"Estimate"</formula>
    </cfRule>
  </conditionalFormatting>
  <pageMargins left="0.7" right="0.7" top="0.75" bottom="0.75" header="0" footer="0"/>
  <pageSetup paperSize="9" scale="51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Lists!$A$2:$A$17</xm:f>
          </x14:formula1>
          <xm:sqref>D2</xm:sqref>
        </x14:dataValidation>
        <x14:dataValidation type="list" allowBlank="1" showErrorMessage="1" xr:uid="{00000000-0002-0000-0000-000001000000}">
          <x14:formula1>
            <xm:f>Lists!$E$2:$E$3</xm:f>
          </x14:formula1>
          <xm:sqref>E42:S55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baseColWidth="10" defaultColWidth="12.6640625" defaultRowHeight="15" customHeight="1"/>
  <cols>
    <col min="1" max="1" width="2.1640625" customWidth="1"/>
    <col min="2" max="2" width="21" customWidth="1"/>
    <col min="3" max="4" width="11.5" customWidth="1"/>
    <col min="5" max="5" width="7.6640625" customWidth="1"/>
    <col min="6" max="6" width="7.1640625" customWidth="1"/>
    <col min="7" max="7" width="19.6640625" customWidth="1"/>
    <col min="8" max="9" width="11.5" customWidth="1"/>
    <col min="10" max="10" width="7.6640625" customWidth="1"/>
    <col min="11" max="11" width="7.1640625" customWidth="1"/>
    <col min="12" max="12" width="21" customWidth="1"/>
    <col min="13" max="14" width="11.5" customWidth="1"/>
    <col min="15" max="26" width="7.6640625" customWidth="1"/>
  </cols>
  <sheetData>
    <row r="1" spans="1:26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"/>
      <c r="B2" s="4" t="s">
        <v>71</v>
      </c>
      <c r="C2" s="10"/>
      <c r="D2" s="10"/>
      <c r="E2" s="10"/>
      <c r="F2" s="58"/>
      <c r="G2" s="10"/>
      <c r="H2" s="10"/>
      <c r="I2" s="10"/>
      <c r="J2" s="10"/>
      <c r="K2" s="58"/>
      <c r="L2" s="10"/>
      <c r="M2" s="10"/>
      <c r="N2" s="10"/>
      <c r="O2" s="10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"/>
      <c r="B4" s="59" t="s">
        <v>72</v>
      </c>
      <c r="C4" s="144"/>
      <c r="D4" s="145"/>
      <c r="E4" s="12"/>
      <c r="F4" s="12"/>
      <c r="G4" s="59" t="s">
        <v>72</v>
      </c>
      <c r="H4" s="144"/>
      <c r="I4" s="145"/>
      <c r="J4" s="12"/>
      <c r="K4" s="12"/>
      <c r="L4" s="59" t="s">
        <v>72</v>
      </c>
      <c r="M4" s="144"/>
      <c r="N4" s="14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"/>
      <c r="B5" s="59" t="s">
        <v>73</v>
      </c>
      <c r="C5" s="144"/>
      <c r="D5" s="145"/>
      <c r="E5" s="12"/>
      <c r="F5" s="12"/>
      <c r="G5" s="41" t="s">
        <v>73</v>
      </c>
      <c r="H5" s="144"/>
      <c r="I5" s="145"/>
      <c r="J5" s="12"/>
      <c r="K5" s="12"/>
      <c r="L5" s="59" t="s">
        <v>73</v>
      </c>
      <c r="M5" s="144"/>
      <c r="N5" s="14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"/>
      <c r="B6" s="1"/>
      <c r="C6" s="1"/>
      <c r="D6" s="1"/>
      <c r="E6" s="12"/>
      <c r="F6" s="12"/>
      <c r="G6" s="1"/>
      <c r="H6" s="1"/>
      <c r="I6" s="1"/>
      <c r="J6" s="12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2"/>
      <c r="C7" s="60" t="s">
        <v>74</v>
      </c>
      <c r="D7" s="60" t="s">
        <v>75</v>
      </c>
      <c r="E7" s="12"/>
      <c r="F7" s="12"/>
      <c r="G7" s="12"/>
      <c r="H7" s="60" t="s">
        <v>74</v>
      </c>
      <c r="I7" s="60" t="s">
        <v>75</v>
      </c>
      <c r="J7" s="12"/>
      <c r="K7" s="12"/>
      <c r="L7" s="12"/>
      <c r="M7" s="60" t="s">
        <v>74</v>
      </c>
      <c r="N7" s="60" t="s">
        <v>75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"/>
      <c r="B8" s="61" t="str">
        <f>IF(C5=0,"",C5)</f>
        <v/>
      </c>
      <c r="C8" s="62"/>
      <c r="D8" s="62"/>
      <c r="E8" s="51" t="s">
        <v>76</v>
      </c>
      <c r="F8" s="51"/>
      <c r="G8" s="61" t="str">
        <f>IF(H5=0,"",H5)</f>
        <v/>
      </c>
      <c r="H8" s="62"/>
      <c r="I8" s="62"/>
      <c r="J8" s="51" t="s">
        <v>76</v>
      </c>
      <c r="K8" s="12"/>
      <c r="L8" s="61" t="str">
        <f>IF(M5=0,"",M5)</f>
        <v/>
      </c>
      <c r="M8" s="62"/>
      <c r="N8" s="62"/>
      <c r="O8" s="51" t="s">
        <v>76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"/>
      <c r="B9" s="63"/>
      <c r="C9" s="64"/>
      <c r="D9" s="64"/>
      <c r="E9" s="65" t="str">
        <f t="shared" ref="E9:E23" si="0">IFERROR((D9/C9)^(1/(D$8-C$8))-1,"")</f>
        <v/>
      </c>
      <c r="F9" s="66"/>
      <c r="G9" s="67"/>
      <c r="H9" s="64"/>
      <c r="I9" s="64"/>
      <c r="J9" s="65" t="str">
        <f t="shared" ref="J9:J23" si="1">IFERROR((I9/H9)^(1/(I$8-H$8))-1,"")</f>
        <v/>
      </c>
      <c r="K9" s="68"/>
      <c r="L9" s="63"/>
      <c r="M9" s="64"/>
      <c r="N9" s="64"/>
      <c r="O9" s="69" t="str">
        <f t="shared" ref="O9:O23" si="2">IFERROR((N9/M9)^(1/(N$8-M$8))-1,"")</f>
        <v/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>
      <c r="A10" s="1"/>
      <c r="B10" s="63"/>
      <c r="C10" s="64"/>
      <c r="D10" s="142"/>
      <c r="E10" s="65" t="str">
        <f t="shared" si="0"/>
        <v/>
      </c>
      <c r="F10" s="66"/>
      <c r="G10" s="67"/>
      <c r="H10" s="64"/>
      <c r="I10" s="142"/>
      <c r="J10" s="65" t="str">
        <f t="shared" si="1"/>
        <v/>
      </c>
      <c r="K10" s="68"/>
      <c r="L10" s="63"/>
      <c r="M10" s="64"/>
      <c r="N10" s="142"/>
      <c r="O10" s="69" t="str">
        <f t="shared" si="2"/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>
      <c r="A11" s="1"/>
      <c r="B11" s="63"/>
      <c r="C11" s="142"/>
      <c r="D11" s="142"/>
      <c r="E11" s="65" t="str">
        <f t="shared" si="0"/>
        <v/>
      </c>
      <c r="F11" s="66"/>
      <c r="G11" s="63"/>
      <c r="H11" s="142"/>
      <c r="I11" s="142"/>
      <c r="J11" s="65" t="str">
        <f t="shared" si="1"/>
        <v/>
      </c>
      <c r="K11" s="68"/>
      <c r="L11" s="63"/>
      <c r="M11" s="142"/>
      <c r="N11" s="142"/>
      <c r="O11" s="69" t="str">
        <f t="shared" si="2"/>
        <v/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63"/>
      <c r="C12" s="142"/>
      <c r="D12" s="142"/>
      <c r="E12" s="65" t="str">
        <f t="shared" si="0"/>
        <v/>
      </c>
      <c r="F12" s="66"/>
      <c r="G12" s="63"/>
      <c r="H12" s="142"/>
      <c r="I12" s="142"/>
      <c r="J12" s="65" t="str">
        <f t="shared" si="1"/>
        <v/>
      </c>
      <c r="K12" s="68"/>
      <c r="L12" s="63"/>
      <c r="M12" s="142"/>
      <c r="N12" s="142"/>
      <c r="O12" s="69" t="str">
        <f t="shared" si="2"/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"/>
      <c r="B13" s="63"/>
      <c r="C13" s="142"/>
      <c r="D13" s="142"/>
      <c r="E13" s="65" t="str">
        <f t="shared" si="0"/>
        <v/>
      </c>
      <c r="F13" s="68"/>
      <c r="G13" s="63"/>
      <c r="H13" s="142"/>
      <c r="I13" s="142"/>
      <c r="J13" s="65" t="str">
        <f t="shared" si="1"/>
        <v/>
      </c>
      <c r="K13" s="68"/>
      <c r="L13" s="63"/>
      <c r="M13" s="142"/>
      <c r="N13" s="142"/>
      <c r="O13" s="69" t="str">
        <f t="shared" si="2"/>
        <v/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"/>
      <c r="B14" s="63"/>
      <c r="C14" s="142"/>
      <c r="D14" s="142"/>
      <c r="E14" s="65" t="str">
        <f t="shared" si="0"/>
        <v/>
      </c>
      <c r="F14" s="68"/>
      <c r="G14" s="63"/>
      <c r="H14" s="142"/>
      <c r="I14" s="142"/>
      <c r="J14" s="65" t="str">
        <f t="shared" si="1"/>
        <v/>
      </c>
      <c r="K14" s="68"/>
      <c r="L14" s="63"/>
      <c r="M14" s="142"/>
      <c r="N14" s="142"/>
      <c r="O14" s="69" t="str">
        <f t="shared" si="2"/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"/>
      <c r="B15" s="63"/>
      <c r="C15" s="142"/>
      <c r="D15" s="142"/>
      <c r="E15" s="65" t="str">
        <f t="shared" si="0"/>
        <v/>
      </c>
      <c r="F15" s="68"/>
      <c r="G15" s="63"/>
      <c r="H15" s="142"/>
      <c r="I15" s="142"/>
      <c r="J15" s="65" t="str">
        <f t="shared" si="1"/>
        <v/>
      </c>
      <c r="K15" s="68"/>
      <c r="L15" s="63"/>
      <c r="M15" s="142"/>
      <c r="N15" s="142"/>
      <c r="O15" s="69" t="str">
        <f t="shared" si="2"/>
        <v/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70"/>
      <c r="C16" s="143"/>
      <c r="D16" s="143"/>
      <c r="E16" s="69" t="str">
        <f t="shared" si="0"/>
        <v/>
      </c>
      <c r="F16" s="12"/>
      <c r="G16" s="70"/>
      <c r="H16" s="143"/>
      <c r="I16" s="143"/>
      <c r="J16" s="69" t="str">
        <f t="shared" si="1"/>
        <v/>
      </c>
      <c r="K16" s="12"/>
      <c r="L16" s="70"/>
      <c r="M16" s="143"/>
      <c r="N16" s="143"/>
      <c r="O16" s="69" t="str">
        <f t="shared" si="2"/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70"/>
      <c r="C17" s="143"/>
      <c r="D17" s="143"/>
      <c r="E17" s="69" t="str">
        <f t="shared" si="0"/>
        <v/>
      </c>
      <c r="F17" s="12"/>
      <c r="G17" s="70"/>
      <c r="H17" s="143"/>
      <c r="I17" s="143"/>
      <c r="J17" s="69" t="str">
        <f t="shared" si="1"/>
        <v/>
      </c>
      <c r="K17" s="12"/>
      <c r="L17" s="70"/>
      <c r="M17" s="143"/>
      <c r="N17" s="143"/>
      <c r="O17" s="69" t="str">
        <f t="shared" si="2"/>
        <v/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70"/>
      <c r="C18" s="143"/>
      <c r="D18" s="143"/>
      <c r="E18" s="69" t="str">
        <f t="shared" si="0"/>
        <v/>
      </c>
      <c r="F18" s="12"/>
      <c r="G18" s="70"/>
      <c r="H18" s="143"/>
      <c r="I18" s="143"/>
      <c r="J18" s="69" t="str">
        <f t="shared" si="1"/>
        <v/>
      </c>
      <c r="K18" s="12"/>
      <c r="L18" s="70"/>
      <c r="M18" s="143"/>
      <c r="N18" s="143"/>
      <c r="O18" s="69" t="str">
        <f t="shared" si="2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70"/>
      <c r="C19" s="143"/>
      <c r="D19" s="143"/>
      <c r="E19" s="69" t="str">
        <f t="shared" si="0"/>
        <v/>
      </c>
      <c r="F19" s="12"/>
      <c r="G19" s="70"/>
      <c r="H19" s="143"/>
      <c r="I19" s="143"/>
      <c r="J19" s="69" t="str">
        <f t="shared" si="1"/>
        <v/>
      </c>
      <c r="K19" s="12"/>
      <c r="L19" s="70"/>
      <c r="M19" s="143"/>
      <c r="N19" s="143"/>
      <c r="O19" s="69" t="str">
        <f t="shared" si="2"/>
        <v/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70"/>
      <c r="C20" s="143"/>
      <c r="D20" s="143"/>
      <c r="E20" s="69" t="str">
        <f t="shared" si="0"/>
        <v/>
      </c>
      <c r="F20" s="12"/>
      <c r="G20" s="70"/>
      <c r="H20" s="143"/>
      <c r="I20" s="143"/>
      <c r="J20" s="69" t="str">
        <f t="shared" si="1"/>
        <v/>
      </c>
      <c r="K20" s="12"/>
      <c r="L20" s="70"/>
      <c r="M20" s="143"/>
      <c r="N20" s="143"/>
      <c r="O20" s="69" t="str">
        <f t="shared" si="2"/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"/>
      <c r="B21" s="70"/>
      <c r="C21" s="143"/>
      <c r="D21" s="143"/>
      <c r="E21" s="69" t="str">
        <f t="shared" si="0"/>
        <v/>
      </c>
      <c r="F21" s="12"/>
      <c r="G21" s="70"/>
      <c r="H21" s="143"/>
      <c r="I21" s="143"/>
      <c r="J21" s="69" t="str">
        <f t="shared" si="1"/>
        <v/>
      </c>
      <c r="K21" s="12"/>
      <c r="L21" s="70"/>
      <c r="M21" s="143"/>
      <c r="N21" s="143"/>
      <c r="O21" s="69" t="str">
        <f t="shared" si="2"/>
        <v/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70"/>
      <c r="C22" s="143"/>
      <c r="D22" s="143"/>
      <c r="E22" s="69" t="str">
        <f t="shared" si="0"/>
        <v/>
      </c>
      <c r="F22" s="12"/>
      <c r="G22" s="70"/>
      <c r="H22" s="143"/>
      <c r="I22" s="143"/>
      <c r="J22" s="69" t="str">
        <f t="shared" si="1"/>
        <v/>
      </c>
      <c r="K22" s="12"/>
      <c r="L22" s="70"/>
      <c r="M22" s="143"/>
      <c r="N22" s="143"/>
      <c r="O22" s="69" t="str">
        <f t="shared" si="2"/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"/>
      <c r="B23" s="70"/>
      <c r="C23" s="143"/>
      <c r="D23" s="143"/>
      <c r="E23" s="69" t="str">
        <f t="shared" si="0"/>
        <v/>
      </c>
      <c r="F23" s="12"/>
      <c r="G23" s="70"/>
      <c r="H23" s="143"/>
      <c r="I23" s="143"/>
      <c r="J23" s="69" t="str">
        <f t="shared" si="1"/>
        <v/>
      </c>
      <c r="K23" s="12"/>
      <c r="L23" s="70"/>
      <c r="M23" s="143"/>
      <c r="N23" s="143"/>
      <c r="O23" s="69" t="str">
        <f t="shared" si="2"/>
        <v/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4" t="s">
        <v>26</v>
      </c>
      <c r="C25" s="10"/>
      <c r="D25" s="10"/>
      <c r="E25" s="10"/>
      <c r="F25" s="58"/>
      <c r="G25" s="10"/>
      <c r="H25" s="10"/>
      <c r="I25" s="10"/>
      <c r="J25" s="10"/>
      <c r="K25" s="58"/>
      <c r="L25" s="10"/>
      <c r="M25" s="10"/>
      <c r="N25" s="10"/>
      <c r="O25" s="10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C4:D4"/>
    <mergeCell ref="H4:I4"/>
    <mergeCell ref="M4:N4"/>
    <mergeCell ref="C5:D5"/>
    <mergeCell ref="H5:I5"/>
    <mergeCell ref="M5:N5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showGridLines="0" topLeftCell="C1" workbookViewId="0">
      <selection activeCell="S57" sqref="S57"/>
    </sheetView>
  </sheetViews>
  <sheetFormatPr baseColWidth="10" defaultColWidth="12.6640625" defaultRowHeight="15" customHeight="1" outlineLevelRow="2"/>
  <cols>
    <col min="1" max="1" width="2.1640625" customWidth="1"/>
    <col min="2" max="2" width="21.1640625" customWidth="1"/>
    <col min="3" max="3" width="14.6640625" customWidth="1"/>
    <col min="4" max="4" width="17.1640625" customWidth="1"/>
    <col min="5" max="19" width="11.1640625" customWidth="1"/>
    <col min="20" max="20" width="1.1640625" customWidth="1"/>
    <col min="21" max="21" width="17.6640625" customWidth="1"/>
    <col min="22" max="22" width="1.1640625" customWidth="1"/>
    <col min="23" max="33" width="8" customWidth="1"/>
  </cols>
  <sheetData>
    <row r="1" spans="1:33" ht="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" hidden="1" customHeight="1" outlineLevel="1">
      <c r="A2" s="1"/>
      <c r="B2" s="1"/>
      <c r="C2" s="1"/>
      <c r="D2" s="71" t="str">
        <f>+X55</f>
        <v>zł.</v>
      </c>
      <c r="E2" s="6">
        <f>Financials!E2</f>
        <v>2013</v>
      </c>
      <c r="F2" s="6">
        <f>Financials!F2</f>
        <v>2014</v>
      </c>
      <c r="G2" s="6">
        <f>Financials!G2</f>
        <v>2015</v>
      </c>
      <c r="H2" s="6">
        <f>Financials!H2</f>
        <v>2016</v>
      </c>
      <c r="I2" s="6">
        <f>Financials!I2</f>
        <v>2017</v>
      </c>
      <c r="J2" s="6">
        <f>Financials!J2</f>
        <v>2018</v>
      </c>
      <c r="K2" s="6">
        <f>Financials!K2</f>
        <v>2019</v>
      </c>
      <c r="L2" s="6">
        <f>Financials!L2</f>
        <v>2020</v>
      </c>
      <c r="M2" s="6">
        <v>2021</v>
      </c>
      <c r="N2" s="6">
        <v>2022</v>
      </c>
      <c r="O2" s="6">
        <v>2023</v>
      </c>
      <c r="P2" s="6">
        <v>2024</v>
      </c>
      <c r="Q2" s="6">
        <v>2025</v>
      </c>
      <c r="R2" s="6">
        <v>2026</v>
      </c>
      <c r="S2" s="6">
        <v>2027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" hidden="1" customHeight="1" outlineLevel="1">
      <c r="A3" s="1"/>
      <c r="B3" s="1"/>
      <c r="C3" s="1"/>
      <c r="D3" s="53" t="str">
        <f>Financials!D100</f>
        <v>Goodwill impairment</v>
      </c>
      <c r="E3" s="72">
        <f>Financials!E100</f>
        <v>0</v>
      </c>
      <c r="F3" s="72">
        <f>Financials!F100</f>
        <v>0</v>
      </c>
      <c r="G3" s="72">
        <f>Financials!G100</f>
        <v>0</v>
      </c>
      <c r="H3" s="72">
        <f>Financials!H100</f>
        <v>0</v>
      </c>
      <c r="I3" s="72">
        <f>Financials!I100</f>
        <v>0</v>
      </c>
      <c r="J3" s="72">
        <f>Financials!J100</f>
        <v>0</v>
      </c>
      <c r="K3" s="72">
        <f>Financials!K100</f>
        <v>0</v>
      </c>
      <c r="L3" s="72">
        <f>Financials!L100</f>
        <v>0</v>
      </c>
      <c r="M3" s="72">
        <f>Financials!M100</f>
        <v>0</v>
      </c>
      <c r="N3" s="72">
        <f>Financials!N100</f>
        <v>0</v>
      </c>
      <c r="O3" s="72">
        <f>Financials!O100</f>
        <v>0</v>
      </c>
      <c r="P3" s="72">
        <f>Financials!P100</f>
        <v>0</v>
      </c>
      <c r="Q3" s="72">
        <f>Financials!Q100</f>
        <v>0</v>
      </c>
      <c r="R3" s="72">
        <f>Financials!R100</f>
        <v>0</v>
      </c>
      <c r="S3" s="72">
        <f>Financials!S100</f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" hidden="1" customHeight="1" outlineLevel="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" hidden="1" customHeight="1" outlineLevel="2">
      <c r="A5" s="1"/>
      <c r="B5" s="1"/>
      <c r="C5" s="1"/>
      <c r="D5" s="94" t="s">
        <v>77</v>
      </c>
      <c r="E5" s="94" t="str">
        <f t="shared" ref="E5:S5" si="0">+IF(E8=0,"",E$2)</f>
        <v/>
      </c>
      <c r="F5" s="94" t="str">
        <f t="shared" si="0"/>
        <v/>
      </c>
      <c r="G5" s="94" t="str">
        <f t="shared" si="0"/>
        <v/>
      </c>
      <c r="H5" s="94" t="str">
        <f t="shared" si="0"/>
        <v/>
      </c>
      <c r="I5" s="94" t="str">
        <f t="shared" si="0"/>
        <v/>
      </c>
      <c r="J5" s="94" t="str">
        <f t="shared" si="0"/>
        <v/>
      </c>
      <c r="K5" s="94" t="str">
        <f t="shared" si="0"/>
        <v/>
      </c>
      <c r="L5" s="94" t="str">
        <f t="shared" si="0"/>
        <v/>
      </c>
      <c r="M5" s="94" t="str">
        <f t="shared" si="0"/>
        <v/>
      </c>
      <c r="N5" s="94" t="str">
        <f t="shared" si="0"/>
        <v/>
      </c>
      <c r="O5" s="94" t="str">
        <f t="shared" si="0"/>
        <v/>
      </c>
      <c r="P5" s="94" t="str">
        <f t="shared" si="0"/>
        <v/>
      </c>
      <c r="Q5" s="94" t="str">
        <f t="shared" si="0"/>
        <v/>
      </c>
      <c r="R5" s="94" t="str">
        <f t="shared" si="0"/>
        <v/>
      </c>
      <c r="S5" s="94" t="str">
        <f t="shared" si="0"/>
        <v/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" hidden="1" customHeight="1" outlineLevel="2">
      <c r="A6" s="1"/>
      <c r="B6" s="1"/>
      <c r="C6" s="1"/>
      <c r="D6" s="94" t="s">
        <v>78</v>
      </c>
      <c r="E6" s="94">
        <f>+MIN(E5:S5)</f>
        <v>0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" hidden="1" customHeight="1" outlineLevel="2">
      <c r="A7" s="1"/>
      <c r="B7" s="1"/>
      <c r="C7" s="1"/>
      <c r="D7" s="94" t="s">
        <v>79</v>
      </c>
      <c r="E7" s="94">
        <f>+MAX(E5:S5)</f>
        <v>0</v>
      </c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" hidden="1" customHeight="1" outlineLevel="2">
      <c r="A8" s="1"/>
      <c r="B8" s="1"/>
      <c r="C8" s="1"/>
      <c r="D8" s="94" t="s">
        <v>80</v>
      </c>
      <c r="E8" s="95">
        <f>IF(E3=0,0,1)</f>
        <v>0</v>
      </c>
      <c r="F8" s="95">
        <f t="shared" ref="F8:S8" si="1">IF(F3=0,0,1)</f>
        <v>0</v>
      </c>
      <c r="G8" s="95">
        <f t="shared" si="1"/>
        <v>0</v>
      </c>
      <c r="H8" s="95">
        <f t="shared" si="1"/>
        <v>0</v>
      </c>
      <c r="I8" s="95">
        <f t="shared" si="1"/>
        <v>0</v>
      </c>
      <c r="J8" s="95">
        <f t="shared" si="1"/>
        <v>0</v>
      </c>
      <c r="K8" s="95">
        <f t="shared" si="1"/>
        <v>0</v>
      </c>
      <c r="L8" s="95">
        <f t="shared" si="1"/>
        <v>0</v>
      </c>
      <c r="M8" s="95">
        <f t="shared" si="1"/>
        <v>0</v>
      </c>
      <c r="N8" s="95">
        <f t="shared" si="1"/>
        <v>0</v>
      </c>
      <c r="O8" s="95">
        <f t="shared" si="1"/>
        <v>0</v>
      </c>
      <c r="P8" s="95">
        <f t="shared" si="1"/>
        <v>0</v>
      </c>
      <c r="Q8" s="95">
        <f t="shared" si="1"/>
        <v>0</v>
      </c>
      <c r="R8" s="95">
        <f t="shared" si="1"/>
        <v>0</v>
      </c>
      <c r="S8" s="95">
        <f t="shared" si="1"/>
        <v>0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" hidden="1" customHeight="1" outlineLevel="2">
      <c r="A9" s="1"/>
      <c r="B9" s="1"/>
      <c r="C9" s="1"/>
      <c r="D9" s="94" t="s">
        <v>81</v>
      </c>
      <c r="E9" s="95" t="str">
        <f t="shared" ref="E9:S9" si="2">+IF(E8=0,"",IF(AND(E3&lt;0.1,E3&gt;-0.1),TEXT(E3*1000,"0"),TEXT(E3,"0.0")))</f>
        <v/>
      </c>
      <c r="F9" s="95" t="str">
        <f t="shared" si="2"/>
        <v/>
      </c>
      <c r="G9" s="95" t="str">
        <f t="shared" si="2"/>
        <v/>
      </c>
      <c r="H9" s="95" t="str">
        <f t="shared" si="2"/>
        <v/>
      </c>
      <c r="I9" s="95" t="str">
        <f t="shared" si="2"/>
        <v/>
      </c>
      <c r="J9" s="95" t="str">
        <f t="shared" si="2"/>
        <v/>
      </c>
      <c r="K9" s="95" t="str">
        <f t="shared" si="2"/>
        <v/>
      </c>
      <c r="L9" s="95" t="str">
        <f t="shared" si="2"/>
        <v/>
      </c>
      <c r="M9" s="95" t="str">
        <f t="shared" si="2"/>
        <v/>
      </c>
      <c r="N9" s="95" t="str">
        <f t="shared" si="2"/>
        <v/>
      </c>
      <c r="O9" s="95" t="str">
        <f t="shared" si="2"/>
        <v/>
      </c>
      <c r="P9" s="95" t="str">
        <f t="shared" si="2"/>
        <v/>
      </c>
      <c r="Q9" s="95" t="str">
        <f t="shared" si="2"/>
        <v/>
      </c>
      <c r="R9" s="95" t="str">
        <f t="shared" si="2"/>
        <v/>
      </c>
      <c r="S9" s="95" t="str">
        <f t="shared" si="2"/>
        <v/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" hidden="1" customHeight="1" outlineLevel="2">
      <c r="A10" s="1"/>
      <c r="B10" s="1"/>
      <c r="C10" s="1"/>
      <c r="D10" s="94" t="s">
        <v>82</v>
      </c>
      <c r="E10" s="95" t="str">
        <f t="shared" ref="E10:S10" si="3">+IF(E8=0,"",IF(AND(E3&lt;0.1,E3&gt;-0.1),"k","m"))</f>
        <v/>
      </c>
      <c r="F10" s="95" t="str">
        <f t="shared" si="3"/>
        <v/>
      </c>
      <c r="G10" s="95" t="str">
        <f t="shared" si="3"/>
        <v/>
      </c>
      <c r="H10" s="95" t="str">
        <f t="shared" si="3"/>
        <v/>
      </c>
      <c r="I10" s="95" t="str">
        <f t="shared" si="3"/>
        <v/>
      </c>
      <c r="J10" s="95" t="str">
        <f t="shared" si="3"/>
        <v/>
      </c>
      <c r="K10" s="95" t="str">
        <f t="shared" si="3"/>
        <v/>
      </c>
      <c r="L10" s="95" t="str">
        <f t="shared" si="3"/>
        <v/>
      </c>
      <c r="M10" s="95" t="str">
        <f t="shared" si="3"/>
        <v/>
      </c>
      <c r="N10" s="95" t="str">
        <f t="shared" si="3"/>
        <v/>
      </c>
      <c r="O10" s="95" t="str">
        <f t="shared" si="3"/>
        <v/>
      </c>
      <c r="P10" s="95" t="str">
        <f t="shared" si="3"/>
        <v/>
      </c>
      <c r="Q10" s="95" t="str">
        <f t="shared" si="3"/>
        <v/>
      </c>
      <c r="R10" s="95" t="str">
        <f t="shared" si="3"/>
        <v/>
      </c>
      <c r="S10" s="95" t="str">
        <f t="shared" si="3"/>
        <v/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" hidden="1" customHeight="1" outlineLevel="2">
      <c r="A11" s="1"/>
      <c r="B11" s="1"/>
      <c r="C11" s="1"/>
      <c r="D11" s="94" t="s">
        <v>83</v>
      </c>
      <c r="E11" s="95" t="str">
        <f>IF(OR(E8=0,SUM($E8:$S8)&lt;2),"",IF(SUM(E8:$S8)&gt;1,", ",""))</f>
        <v/>
      </c>
      <c r="F11" s="95" t="str">
        <f>IF(OR(F8=0,SUM($E8:$S8)&lt;2),"",IF(SUM(F8:$S8)&gt;1,", ",""))</f>
        <v/>
      </c>
      <c r="G11" s="95" t="str">
        <f>IF(OR(G8=0,SUM($E8:$S8)&lt;2),"",IF(SUM(G8:$S8)&gt;1,", ",""))</f>
        <v/>
      </c>
      <c r="H11" s="95" t="str">
        <f>IF(OR(H8=0,SUM($E8:$S8)&lt;2),"",IF(SUM(H8:$S8)&gt;1,", ",""))</f>
        <v/>
      </c>
      <c r="I11" s="95" t="str">
        <f>IF(OR(I8=0,SUM($E8:$S8)&lt;2),"",IF(SUM(I8:$S8)&gt;1,", ",""))</f>
        <v/>
      </c>
      <c r="J11" s="95" t="str">
        <f>IF(OR(J8=0,SUM($E8:$S8)&lt;2),"",IF(SUM(J8:$S8)&gt;1,", ",""))</f>
        <v/>
      </c>
      <c r="K11" s="95" t="str">
        <f>IF(OR(K8=0,SUM($E8:$S8)&lt;2),"",IF(SUM(K8:$S8)&gt;1,", ",""))</f>
        <v/>
      </c>
      <c r="L11" s="95" t="str">
        <f>IF(OR(L8=0,SUM($E8:$S8)&lt;2),"",IF(SUM(L8:$S8)&gt;1,", ",""))</f>
        <v/>
      </c>
      <c r="M11" s="95" t="str">
        <f>IF(OR(M8=0,SUM($E8:$S8)&lt;2),"",IF(SUM(M8:$S8)&gt;1,", ",""))</f>
        <v/>
      </c>
      <c r="N11" s="95" t="str">
        <f>IF(OR(N8=0,SUM($E8:$S8)&lt;2),"",IF(SUM(N8:$S8)&gt;1,", ",""))</f>
        <v/>
      </c>
      <c r="O11" s="95" t="str">
        <f>IF(OR(O8=0,SUM($E8:$S8)&lt;2),"",IF(SUM(O8:$S8)&gt;1,", ",""))</f>
        <v/>
      </c>
      <c r="P11" s="95" t="str">
        <f>IF(OR(P8=0,SUM($E8:$S8)&lt;2),"",IF(SUM(P8:$S8)&gt;1,", ",""))</f>
        <v/>
      </c>
      <c r="Q11" s="95" t="str">
        <f>IF(OR(Q8=0,SUM($E8:$S8)&lt;2),"",IF(SUM(Q8:$S8)&gt;1,", ",""))</f>
        <v/>
      </c>
      <c r="R11" s="95" t="str">
        <f>IF(OR(R8=0,SUM($E8:$S8)&lt;2),"",IF(SUM(R8:$S8)&gt;1,", ",""))</f>
        <v/>
      </c>
      <c r="S11" s="95" t="str">
        <f>IF(OR(S8=0,SUM($E8:$S8)&lt;2),"",IF(SUM(S8:$S8)&gt;1,", ",""))</f>
        <v/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" hidden="1" customHeight="1" outlineLevel="2">
      <c r="A12" s="1"/>
      <c r="B12" s="1"/>
      <c r="C12" s="1"/>
      <c r="D12" s="94" t="s">
        <v>84</v>
      </c>
      <c r="E12" s="95" t="str">
        <f>+IF(E8=0,"",IF(SUM($E8:$S8)=1,$D$2&amp;E9&amp;E10,$D$2&amp;E9&amp;E10&amp;" in "&amp;E$2&amp;E11))</f>
        <v/>
      </c>
      <c r="F12" s="95" t="str">
        <f t="shared" ref="F12:N12" si="4">+IF(F8=0,"",IF(SUM($E8:$S8)=1,$D$2&amp;F9&amp;F10,$D$2&amp;F9&amp;F10&amp;" in "&amp;F$2&amp;F11))</f>
        <v/>
      </c>
      <c r="G12" s="95" t="str">
        <f t="shared" si="4"/>
        <v/>
      </c>
      <c r="H12" s="95" t="str">
        <f t="shared" si="4"/>
        <v/>
      </c>
      <c r="I12" s="95" t="str">
        <f t="shared" si="4"/>
        <v/>
      </c>
      <c r="J12" s="95" t="str">
        <f t="shared" si="4"/>
        <v/>
      </c>
      <c r="K12" s="95" t="str">
        <f t="shared" si="4"/>
        <v/>
      </c>
      <c r="L12" s="95" t="str">
        <f t="shared" si="4"/>
        <v/>
      </c>
      <c r="M12" s="95" t="str">
        <f t="shared" si="4"/>
        <v/>
      </c>
      <c r="N12" s="95" t="str">
        <f t="shared" si="4"/>
        <v/>
      </c>
      <c r="O12" s="95" t="str">
        <f t="shared" ref="O12:S12" si="5">+IF(O8=0,"",IF(SUM($E8:$S8)=1,$D$2&amp;O9&amp;O10,$D$2&amp;O9&amp;O10&amp;" in "&amp;O$2&amp;O11))</f>
        <v/>
      </c>
      <c r="P12" s="95" t="str">
        <f t="shared" si="5"/>
        <v/>
      </c>
      <c r="Q12" s="95" t="str">
        <f t="shared" si="5"/>
        <v/>
      </c>
      <c r="R12" s="95" t="str">
        <f t="shared" si="5"/>
        <v/>
      </c>
      <c r="S12" s="95" t="str">
        <f t="shared" si="5"/>
        <v/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" hidden="1" customHeight="1" outlineLevel="1">
      <c r="A13" s="1"/>
      <c r="B13" s="1"/>
      <c r="C13" s="1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" hidden="1" customHeight="1" outlineLevel="1">
      <c r="A14" s="1"/>
      <c r="B14" s="73">
        <v>1</v>
      </c>
      <c r="C14" s="73"/>
      <c r="D14" s="96" t="str">
        <f>IF(SUM(E8:S8)=0,"",IF(SUM(E8:S8)=1,"FY"&amp;E6&amp;": EBIT adjusted for goodwill impairment of "&amp;E12&amp;F12&amp;G12&amp;H12&amp;I12&amp;J12&amp;K12&amp;L12&amp;M12&amp;N12&amp;O12&amp;P12&amp;Q12&amp;R12&amp;S12,"FY"&amp;E6&amp;"-"&amp;E7&amp;": EBIT(DA) adjusted for goodwill impairment ("&amp;E12&amp;F12&amp;G12&amp;H12&amp;I12&amp;J12&amp;K12&amp;L12&amp;M12&amp;N12&amp;O12&amp;P12&amp;Q12&amp;R12&amp;S12&amp;")"))</f>
        <v/>
      </c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8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" hidden="1" customHeight="1" outlineLevel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" hidden="1" customHeight="1" outlineLevel="1">
      <c r="A16" s="1"/>
      <c r="B16" s="1"/>
      <c r="C16" s="1"/>
      <c r="D16" s="53" t="str">
        <f>Financials!D101</f>
        <v>Goodwill amortisation</v>
      </c>
      <c r="E16" s="72">
        <f>Financials!E101</f>
        <v>0</v>
      </c>
      <c r="F16" s="72">
        <f>Financials!F101</f>
        <v>0</v>
      </c>
      <c r="G16" s="72">
        <f>Financials!G101</f>
        <v>0</v>
      </c>
      <c r="H16" s="72">
        <f>Financials!H101</f>
        <v>0</v>
      </c>
      <c r="I16" s="72">
        <f>Financials!I101</f>
        <v>0</v>
      </c>
      <c r="J16" s="72">
        <f>Financials!J101</f>
        <v>0</v>
      </c>
      <c r="K16" s="72">
        <f>Financials!K101</f>
        <v>0</v>
      </c>
      <c r="L16" s="72">
        <f>Financials!L101</f>
        <v>0</v>
      </c>
      <c r="M16" s="72">
        <f>Financials!M101</f>
        <v>0</v>
      </c>
      <c r="N16" s="72">
        <f>Financials!N101</f>
        <v>0</v>
      </c>
      <c r="O16" s="72">
        <f>Financials!O101</f>
        <v>0</v>
      </c>
      <c r="P16" s="92"/>
      <c r="Q16" s="92"/>
      <c r="R16" s="92"/>
      <c r="S16" s="92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" hidden="1" customHeight="1" outlineLevel="2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</row>
    <row r="18" spans="1:33" ht="15" hidden="1" customHeight="1" outlineLevel="2">
      <c r="A18" s="1"/>
      <c r="B18" s="1"/>
      <c r="C18" s="1"/>
      <c r="D18" s="1" t="s">
        <v>77</v>
      </c>
      <c r="E18" s="1" t="str">
        <f t="shared" ref="E18:O18" si="6">+IF(E21=0,"",E$2)</f>
        <v/>
      </c>
      <c r="F18" s="1" t="str">
        <f t="shared" si="6"/>
        <v/>
      </c>
      <c r="G18" s="1" t="str">
        <f t="shared" si="6"/>
        <v/>
      </c>
      <c r="H18" s="1" t="str">
        <f t="shared" si="6"/>
        <v/>
      </c>
      <c r="I18" s="1" t="str">
        <f t="shared" si="6"/>
        <v/>
      </c>
      <c r="J18" s="1" t="str">
        <f t="shared" si="6"/>
        <v/>
      </c>
      <c r="K18" s="1" t="str">
        <f t="shared" si="6"/>
        <v/>
      </c>
      <c r="L18" s="1" t="str">
        <f t="shared" si="6"/>
        <v/>
      </c>
      <c r="M18" s="1" t="str">
        <f t="shared" si="6"/>
        <v/>
      </c>
      <c r="N18" s="1" t="str">
        <f t="shared" si="6"/>
        <v/>
      </c>
      <c r="O18" s="1" t="str">
        <f t="shared" si="6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" hidden="1" customHeight="1" outlineLevel="2">
      <c r="A19" s="1"/>
      <c r="B19" s="1"/>
      <c r="C19" s="1"/>
      <c r="D19" s="94" t="s">
        <v>78</v>
      </c>
      <c r="E19" s="94">
        <f>+MIN(E18:S18)</f>
        <v>0</v>
      </c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hidden="1" customHeight="1" outlineLevel="2">
      <c r="A20" s="1"/>
      <c r="B20" s="1"/>
      <c r="C20" s="1"/>
      <c r="D20" s="94" t="s">
        <v>79</v>
      </c>
      <c r="E20" s="94">
        <f>+MAX(E18:S18)</f>
        <v>0</v>
      </c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hidden="1" customHeight="1" outlineLevel="2">
      <c r="A21" s="77"/>
      <c r="B21" s="77"/>
      <c r="C21" s="77"/>
      <c r="D21" s="94" t="s">
        <v>80</v>
      </c>
      <c r="E21" s="95">
        <f t="shared" ref="E21:S21" si="7">IF(E16=0,0,1)</f>
        <v>0</v>
      </c>
      <c r="F21" s="95">
        <f t="shared" si="7"/>
        <v>0</v>
      </c>
      <c r="G21" s="95">
        <f t="shared" si="7"/>
        <v>0</v>
      </c>
      <c r="H21" s="95">
        <f t="shared" si="7"/>
        <v>0</v>
      </c>
      <c r="I21" s="95">
        <f t="shared" si="7"/>
        <v>0</v>
      </c>
      <c r="J21" s="95">
        <f t="shared" si="7"/>
        <v>0</v>
      </c>
      <c r="K21" s="95">
        <f t="shared" si="7"/>
        <v>0</v>
      </c>
      <c r="L21" s="95">
        <f t="shared" si="7"/>
        <v>0</v>
      </c>
      <c r="M21" s="95">
        <f t="shared" si="7"/>
        <v>0</v>
      </c>
      <c r="N21" s="95">
        <f t="shared" si="7"/>
        <v>0</v>
      </c>
      <c r="O21" s="95">
        <f t="shared" si="7"/>
        <v>0</v>
      </c>
      <c r="P21" s="95">
        <f t="shared" si="7"/>
        <v>0</v>
      </c>
      <c r="Q21" s="95">
        <f t="shared" si="7"/>
        <v>0</v>
      </c>
      <c r="R21" s="95">
        <f t="shared" si="7"/>
        <v>0</v>
      </c>
      <c r="S21" s="95">
        <f t="shared" si="7"/>
        <v>0</v>
      </c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</row>
    <row r="22" spans="1:33" ht="15" hidden="1" customHeight="1" outlineLevel="2">
      <c r="A22" s="77"/>
      <c r="B22" s="77"/>
      <c r="C22" s="77"/>
      <c r="D22" s="94" t="s">
        <v>81</v>
      </c>
      <c r="E22" s="95" t="str">
        <f t="shared" ref="E22:S22" si="8">+IF(E21=0,"",IF(AND(E16&lt;0.1,E16&gt;-0.1),TEXT(E16*1000,"0"),TEXT(E16,"0.0")))</f>
        <v/>
      </c>
      <c r="F22" s="95" t="str">
        <f t="shared" si="8"/>
        <v/>
      </c>
      <c r="G22" s="95" t="str">
        <f t="shared" si="8"/>
        <v/>
      </c>
      <c r="H22" s="95" t="str">
        <f t="shared" si="8"/>
        <v/>
      </c>
      <c r="I22" s="95" t="str">
        <f t="shared" si="8"/>
        <v/>
      </c>
      <c r="J22" s="95" t="str">
        <f t="shared" si="8"/>
        <v/>
      </c>
      <c r="K22" s="95" t="str">
        <f t="shared" si="8"/>
        <v/>
      </c>
      <c r="L22" s="95" t="str">
        <f t="shared" si="8"/>
        <v/>
      </c>
      <c r="M22" s="95" t="str">
        <f t="shared" si="8"/>
        <v/>
      </c>
      <c r="N22" s="95" t="str">
        <f t="shared" si="8"/>
        <v/>
      </c>
      <c r="O22" s="95" t="str">
        <f t="shared" si="8"/>
        <v/>
      </c>
      <c r="P22" s="95" t="str">
        <f t="shared" si="8"/>
        <v/>
      </c>
      <c r="Q22" s="95" t="str">
        <f t="shared" si="8"/>
        <v/>
      </c>
      <c r="R22" s="95" t="str">
        <f t="shared" si="8"/>
        <v/>
      </c>
      <c r="S22" s="95" t="str">
        <f t="shared" si="8"/>
        <v/>
      </c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</row>
    <row r="23" spans="1:33" ht="15" hidden="1" customHeight="1" outlineLevel="2">
      <c r="A23" s="77"/>
      <c r="B23" s="77"/>
      <c r="C23" s="77"/>
      <c r="D23" s="94" t="s">
        <v>82</v>
      </c>
      <c r="E23" s="95" t="str">
        <f t="shared" ref="E23:S23" si="9">+IF(E21=0,"",IF(AND(E16&lt;0.1,E16&gt;-0.1),"k","m"))</f>
        <v/>
      </c>
      <c r="F23" s="95" t="str">
        <f t="shared" si="9"/>
        <v/>
      </c>
      <c r="G23" s="95" t="str">
        <f t="shared" si="9"/>
        <v/>
      </c>
      <c r="H23" s="95" t="str">
        <f t="shared" si="9"/>
        <v/>
      </c>
      <c r="I23" s="95" t="str">
        <f t="shared" si="9"/>
        <v/>
      </c>
      <c r="J23" s="95" t="str">
        <f t="shared" si="9"/>
        <v/>
      </c>
      <c r="K23" s="95" t="str">
        <f t="shared" si="9"/>
        <v/>
      </c>
      <c r="L23" s="95" t="str">
        <f t="shared" si="9"/>
        <v/>
      </c>
      <c r="M23" s="95" t="str">
        <f t="shared" si="9"/>
        <v/>
      </c>
      <c r="N23" s="95" t="str">
        <f t="shared" si="9"/>
        <v/>
      </c>
      <c r="O23" s="95" t="str">
        <f t="shared" si="9"/>
        <v/>
      </c>
      <c r="P23" s="95" t="str">
        <f t="shared" si="9"/>
        <v/>
      </c>
      <c r="Q23" s="95" t="str">
        <f t="shared" si="9"/>
        <v/>
      </c>
      <c r="R23" s="95" t="str">
        <f t="shared" si="9"/>
        <v/>
      </c>
      <c r="S23" s="95" t="str">
        <f t="shared" si="9"/>
        <v/>
      </c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</row>
    <row r="24" spans="1:33" ht="15" hidden="1" customHeight="1" outlineLevel="2">
      <c r="A24" s="77"/>
      <c r="B24" s="77"/>
      <c r="C24" s="77"/>
      <c r="D24" s="94" t="s">
        <v>83</v>
      </c>
      <c r="E24" s="95" t="str">
        <f>IF(OR(E21=0,SUM($E21:$S21)&lt;2),"",IF(SUM(E21:$S21)&gt;1,", ",""))</f>
        <v/>
      </c>
      <c r="F24" s="95" t="str">
        <f>IF(OR(F21=0,SUM($E21:$S21)&lt;2),"",IF(SUM(F21:$S21)&gt;1,", ",""))</f>
        <v/>
      </c>
      <c r="G24" s="95" t="str">
        <f>IF(OR(G21=0,SUM($E21:$S21)&lt;2),"",IF(SUM(G21:$S21)&gt;1,", ",""))</f>
        <v/>
      </c>
      <c r="H24" s="95" t="str">
        <f>IF(OR(H21=0,SUM($E21:$S21)&lt;2),"",IF(SUM(H21:$S21)&gt;1,", ",""))</f>
        <v/>
      </c>
      <c r="I24" s="95" t="str">
        <f>IF(OR(I21=0,SUM($E21:$S21)&lt;2),"",IF(SUM(I21:$S21)&gt;1,", ",""))</f>
        <v/>
      </c>
      <c r="J24" s="95" t="str">
        <f>IF(OR(J21=0,SUM($E21:$S21)&lt;2),"",IF(SUM(J21:$S21)&gt;1,", ",""))</f>
        <v/>
      </c>
      <c r="K24" s="95" t="str">
        <f>IF(OR(K21=0,SUM($E21:$S21)&lt;2),"",IF(SUM(K21:$S21)&gt;1,", ",""))</f>
        <v/>
      </c>
      <c r="L24" s="95" t="str">
        <f>IF(OR(L21=0,SUM($E21:$S21)&lt;2),"",IF(SUM(L21:$S21)&gt;1,", ",""))</f>
        <v/>
      </c>
      <c r="M24" s="95" t="str">
        <f>IF(OR(M21=0,SUM($E21:$S21)&lt;2),"",IF(SUM(M21:$S21)&gt;1,", ",""))</f>
        <v/>
      </c>
      <c r="N24" s="95" t="str">
        <f>IF(OR(N21=0,SUM($E21:$S21)&lt;2),"",IF(SUM(N21:$S21)&gt;1,", ",""))</f>
        <v/>
      </c>
      <c r="O24" s="95" t="str">
        <f>IF(OR(O21=0,SUM($E21:$S21)&lt;2),"",IF(SUM(O21:$S21)&gt;1,", ",""))</f>
        <v/>
      </c>
      <c r="P24" s="95" t="str">
        <f>IF(OR(P21=0,SUM($E21:$S21)&lt;2),"",IF(SUM(P21:$S21)&gt;1,", ",""))</f>
        <v/>
      </c>
      <c r="Q24" s="95" t="str">
        <f>IF(OR(Q21=0,SUM($E21:$S21)&lt;2),"",IF(SUM(Q21:$S21)&gt;1,", ",""))</f>
        <v/>
      </c>
      <c r="R24" s="95" t="str">
        <f>IF(OR(R21=0,SUM($E21:$S21)&lt;2),"",IF(SUM(R21:$S21)&gt;1,", ",""))</f>
        <v/>
      </c>
      <c r="S24" s="95" t="str">
        <f>IF(OR(S21=0,SUM($E21:$S21)&lt;2),"",IF(SUM(S21:$S21)&gt;1,", ",""))</f>
        <v/>
      </c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</row>
    <row r="25" spans="1:33" ht="15" hidden="1" customHeight="1" outlineLevel="2">
      <c r="A25" s="77"/>
      <c r="B25" s="77"/>
      <c r="C25" s="77"/>
      <c r="D25" s="94" t="s">
        <v>84</v>
      </c>
      <c r="E25" s="95" t="str">
        <f t="shared" ref="E25:S25" si="10">+IF(E21=0,"",IF(SUM($E21:$S21)=1,$D$2&amp;E22&amp;E23,$D$2&amp;E22&amp;E23&amp;" in "&amp;E$2&amp;E24))</f>
        <v/>
      </c>
      <c r="F25" s="95" t="str">
        <f t="shared" si="10"/>
        <v/>
      </c>
      <c r="G25" s="95" t="str">
        <f t="shared" si="10"/>
        <v/>
      </c>
      <c r="H25" s="95" t="str">
        <f t="shared" si="10"/>
        <v/>
      </c>
      <c r="I25" s="95" t="str">
        <f t="shared" si="10"/>
        <v/>
      </c>
      <c r="J25" s="95" t="str">
        <f t="shared" si="10"/>
        <v/>
      </c>
      <c r="K25" s="95" t="str">
        <f t="shared" si="10"/>
        <v/>
      </c>
      <c r="L25" s="95" t="str">
        <f t="shared" si="10"/>
        <v/>
      </c>
      <c r="M25" s="95" t="str">
        <f t="shared" si="10"/>
        <v/>
      </c>
      <c r="N25" s="95" t="str">
        <f t="shared" si="10"/>
        <v/>
      </c>
      <c r="O25" s="95" t="str">
        <f t="shared" si="10"/>
        <v/>
      </c>
      <c r="P25" s="95" t="str">
        <f t="shared" si="10"/>
        <v/>
      </c>
      <c r="Q25" s="95" t="str">
        <f t="shared" si="10"/>
        <v/>
      </c>
      <c r="R25" s="95" t="str">
        <f t="shared" si="10"/>
        <v/>
      </c>
      <c r="S25" s="95" t="str">
        <f t="shared" si="10"/>
        <v/>
      </c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</row>
    <row r="26" spans="1:33" ht="15" hidden="1" customHeight="1" outlineLevel="1">
      <c r="A26" s="77"/>
      <c r="B26" s="77"/>
      <c r="C26" s="77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</row>
    <row r="27" spans="1:33" ht="15" hidden="1" customHeight="1" outlineLevel="1">
      <c r="A27" s="77"/>
      <c r="B27" s="73">
        <v>2</v>
      </c>
      <c r="C27" s="73"/>
      <c r="D27" s="96" t="str">
        <f>IF(SUM(E21:S21)=0,"",IF(SUM(E21:S21)=1,"FY"&amp;MIN($E$18:$S$18)&amp;": EBIT adjusted for goodwill amortisation of "&amp;E25&amp;F25&amp;G25&amp;H25&amp;I25&amp;J25&amp;K25&amp;L25&amp;M25&amp;N25&amp;O25&amp;P25&amp;Q25&amp;R25&amp;S25,"FY"&amp;MIN($E$18:$S$18)&amp;"-"&amp;MAX($E$18:$S$18)&amp;": EBIT adjusted for goodwill amortisation ("&amp;E25&amp;F25&amp;G25&amp;H25&amp;I25&amp;J25&amp;K25&amp;L25&amp;M25&amp;N25&amp;O25&amp;P25&amp;Q25&amp;R25&amp;S25&amp;")"))</f>
        <v/>
      </c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9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</row>
    <row r="28" spans="1:33" ht="15" hidden="1" customHeight="1" outlineLevel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</row>
    <row r="29" spans="1:33" ht="15" hidden="1" customHeight="1" outlineLevel="1">
      <c r="A29" s="1"/>
      <c r="B29" s="1"/>
      <c r="C29" s="1"/>
      <c r="D29" s="53" t="str">
        <f>Financials!D102</f>
        <v>Non-recurring income</v>
      </c>
      <c r="E29" s="72">
        <f>Financials!E102</f>
        <v>0</v>
      </c>
      <c r="F29" s="72">
        <f>Financials!F102</f>
        <v>0</v>
      </c>
      <c r="G29" s="72">
        <f>Financials!G102</f>
        <v>0</v>
      </c>
      <c r="H29" s="72">
        <f>Financials!H102</f>
        <v>0</v>
      </c>
      <c r="I29" s="72">
        <f>Financials!I102</f>
        <v>0</v>
      </c>
      <c r="J29" s="72">
        <f>Financials!J102</f>
        <v>0</v>
      </c>
      <c r="K29" s="72">
        <f>Financials!K102</f>
        <v>0</v>
      </c>
      <c r="L29" s="72">
        <f>Financials!L102</f>
        <v>0</v>
      </c>
      <c r="M29" s="72">
        <f>Financials!M102</f>
        <v>0</v>
      </c>
      <c r="N29" s="72">
        <f>Financials!N102</f>
        <v>0</v>
      </c>
      <c r="O29" s="72">
        <f>Financials!O102</f>
        <v>0</v>
      </c>
      <c r="P29" s="92"/>
      <c r="Q29" s="92"/>
      <c r="R29" s="92"/>
      <c r="S29" s="92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" hidden="1" customHeight="1" outlineLevel="2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</row>
    <row r="31" spans="1:33" ht="15" hidden="1" customHeight="1" outlineLevel="2">
      <c r="A31" s="1"/>
      <c r="B31" s="1"/>
      <c r="C31" s="1"/>
      <c r="D31" s="94" t="s">
        <v>77</v>
      </c>
      <c r="E31" s="94" t="str">
        <f t="shared" ref="E31:S31" si="11">+IF(E34=0,"",E$2)</f>
        <v/>
      </c>
      <c r="F31" s="94" t="str">
        <f t="shared" si="11"/>
        <v/>
      </c>
      <c r="G31" s="94" t="str">
        <f t="shared" si="11"/>
        <v/>
      </c>
      <c r="H31" s="94" t="str">
        <f t="shared" si="11"/>
        <v/>
      </c>
      <c r="I31" s="94" t="str">
        <f t="shared" si="11"/>
        <v/>
      </c>
      <c r="J31" s="94" t="str">
        <f t="shared" si="11"/>
        <v/>
      </c>
      <c r="K31" s="94" t="str">
        <f t="shared" si="11"/>
        <v/>
      </c>
      <c r="L31" s="94" t="str">
        <f t="shared" si="11"/>
        <v/>
      </c>
      <c r="M31" s="94" t="str">
        <f t="shared" si="11"/>
        <v/>
      </c>
      <c r="N31" s="94" t="str">
        <f t="shared" si="11"/>
        <v/>
      </c>
      <c r="O31" s="94" t="str">
        <f t="shared" si="11"/>
        <v/>
      </c>
      <c r="P31" s="94" t="str">
        <f t="shared" si="11"/>
        <v/>
      </c>
      <c r="Q31" s="94" t="str">
        <f t="shared" si="11"/>
        <v/>
      </c>
      <c r="R31" s="94" t="str">
        <f t="shared" si="11"/>
        <v/>
      </c>
      <c r="S31" s="94" t="str">
        <f t="shared" si="11"/>
        <v/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" hidden="1" customHeight="1" outlineLevel="2">
      <c r="A32" s="1"/>
      <c r="B32" s="1"/>
      <c r="C32" s="1"/>
      <c r="D32" s="94" t="s">
        <v>78</v>
      </c>
      <c r="E32" s="94">
        <f>+MIN(E31:S31)</f>
        <v>0</v>
      </c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" hidden="1" customHeight="1" outlineLevel="2">
      <c r="A33" s="1"/>
      <c r="B33" s="1"/>
      <c r="C33" s="1"/>
      <c r="D33" s="94" t="s">
        <v>79</v>
      </c>
      <c r="E33" s="94">
        <f>+MAX(E31:S31)</f>
        <v>0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" hidden="1" customHeight="1" outlineLevel="2">
      <c r="A34" s="77"/>
      <c r="B34" s="77"/>
      <c r="C34" s="77"/>
      <c r="D34" s="94" t="s">
        <v>80</v>
      </c>
      <c r="E34" s="95">
        <f t="shared" ref="E34:S34" si="12">IF(E29=0,0,1)</f>
        <v>0</v>
      </c>
      <c r="F34" s="95">
        <f t="shared" si="12"/>
        <v>0</v>
      </c>
      <c r="G34" s="95">
        <f t="shared" si="12"/>
        <v>0</v>
      </c>
      <c r="H34" s="95">
        <f t="shared" si="12"/>
        <v>0</v>
      </c>
      <c r="I34" s="95">
        <f t="shared" si="12"/>
        <v>0</v>
      </c>
      <c r="J34" s="95">
        <f t="shared" si="12"/>
        <v>0</v>
      </c>
      <c r="K34" s="95">
        <f t="shared" si="12"/>
        <v>0</v>
      </c>
      <c r="L34" s="95">
        <f t="shared" si="12"/>
        <v>0</v>
      </c>
      <c r="M34" s="95">
        <f t="shared" si="12"/>
        <v>0</v>
      </c>
      <c r="N34" s="95">
        <f t="shared" si="12"/>
        <v>0</v>
      </c>
      <c r="O34" s="95">
        <f t="shared" si="12"/>
        <v>0</v>
      </c>
      <c r="P34" s="95">
        <f t="shared" si="12"/>
        <v>0</v>
      </c>
      <c r="Q34" s="95">
        <f t="shared" si="12"/>
        <v>0</v>
      </c>
      <c r="R34" s="95">
        <f t="shared" si="12"/>
        <v>0</v>
      </c>
      <c r="S34" s="95">
        <f t="shared" si="12"/>
        <v>0</v>
      </c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</row>
    <row r="35" spans="1:33" ht="15" hidden="1" customHeight="1" outlineLevel="2">
      <c r="A35" s="77"/>
      <c r="B35" s="77"/>
      <c r="C35" s="77"/>
      <c r="D35" s="94" t="s">
        <v>81</v>
      </c>
      <c r="E35" s="95" t="str">
        <f t="shared" ref="E35:S35" si="13">+IF(E34=0,"",IF(AND(E29&lt;0.1,E29&gt;-0.1),TEXT(E29*1000,"0"),TEXT(E29,"0.0")))</f>
        <v/>
      </c>
      <c r="F35" s="95" t="str">
        <f t="shared" si="13"/>
        <v/>
      </c>
      <c r="G35" s="95" t="str">
        <f t="shared" si="13"/>
        <v/>
      </c>
      <c r="H35" s="95" t="str">
        <f t="shared" si="13"/>
        <v/>
      </c>
      <c r="I35" s="95" t="str">
        <f t="shared" si="13"/>
        <v/>
      </c>
      <c r="J35" s="95" t="str">
        <f t="shared" si="13"/>
        <v/>
      </c>
      <c r="K35" s="95" t="str">
        <f t="shared" si="13"/>
        <v/>
      </c>
      <c r="L35" s="95" t="str">
        <f t="shared" si="13"/>
        <v/>
      </c>
      <c r="M35" s="95" t="str">
        <f t="shared" si="13"/>
        <v/>
      </c>
      <c r="N35" s="95" t="str">
        <f t="shared" si="13"/>
        <v/>
      </c>
      <c r="O35" s="95" t="str">
        <f t="shared" si="13"/>
        <v/>
      </c>
      <c r="P35" s="95" t="str">
        <f t="shared" si="13"/>
        <v/>
      </c>
      <c r="Q35" s="95" t="str">
        <f t="shared" si="13"/>
        <v/>
      </c>
      <c r="R35" s="95" t="str">
        <f t="shared" si="13"/>
        <v/>
      </c>
      <c r="S35" s="95" t="str">
        <f t="shared" si="13"/>
        <v/>
      </c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</row>
    <row r="36" spans="1:33" ht="15" hidden="1" customHeight="1" outlineLevel="2">
      <c r="A36" s="77"/>
      <c r="B36" s="77"/>
      <c r="C36" s="77"/>
      <c r="D36" s="94" t="s">
        <v>82</v>
      </c>
      <c r="E36" s="95" t="str">
        <f t="shared" ref="E36:S36" si="14">+IF(E34=0,"",IF(AND(E29&lt;0.1,E29&gt;-0.1),"k","m"))</f>
        <v/>
      </c>
      <c r="F36" s="95" t="str">
        <f t="shared" si="14"/>
        <v/>
      </c>
      <c r="G36" s="95" t="str">
        <f t="shared" si="14"/>
        <v/>
      </c>
      <c r="H36" s="95" t="str">
        <f t="shared" si="14"/>
        <v/>
      </c>
      <c r="I36" s="95" t="str">
        <f t="shared" si="14"/>
        <v/>
      </c>
      <c r="J36" s="95" t="str">
        <f t="shared" si="14"/>
        <v/>
      </c>
      <c r="K36" s="95" t="str">
        <f t="shared" si="14"/>
        <v/>
      </c>
      <c r="L36" s="95" t="str">
        <f t="shared" si="14"/>
        <v/>
      </c>
      <c r="M36" s="95" t="str">
        <f t="shared" si="14"/>
        <v/>
      </c>
      <c r="N36" s="95" t="str">
        <f t="shared" si="14"/>
        <v/>
      </c>
      <c r="O36" s="95" t="str">
        <f t="shared" si="14"/>
        <v/>
      </c>
      <c r="P36" s="95" t="str">
        <f t="shared" si="14"/>
        <v/>
      </c>
      <c r="Q36" s="95" t="str">
        <f t="shared" si="14"/>
        <v/>
      </c>
      <c r="R36" s="95" t="str">
        <f t="shared" si="14"/>
        <v/>
      </c>
      <c r="S36" s="95" t="str">
        <f t="shared" si="14"/>
        <v/>
      </c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</row>
    <row r="37" spans="1:33" ht="15" hidden="1" customHeight="1" outlineLevel="2">
      <c r="A37" s="77"/>
      <c r="B37" s="77"/>
      <c r="C37" s="77"/>
      <c r="D37" s="94" t="s">
        <v>83</v>
      </c>
      <c r="E37" s="95" t="str">
        <f>IF(OR(E34=0,SUM($E34:$S34)&lt;2),"",IF(SUM(E34:$S34)&gt;1,", ",""))</f>
        <v/>
      </c>
      <c r="F37" s="95" t="str">
        <f>IF(OR(F34=0,SUM($E34:$S34)&lt;2),"",IF(SUM(F34:$S34)&gt;1,", ",""))</f>
        <v/>
      </c>
      <c r="G37" s="95" t="str">
        <f>IF(OR(G34=0,SUM($E34:$S34)&lt;2),"",IF(SUM(G34:$S34)&gt;1,", ",""))</f>
        <v/>
      </c>
      <c r="H37" s="95" t="str">
        <f>IF(OR(H34=0,SUM($E34:$S34)&lt;2),"",IF(SUM(H34:$S34)&gt;1,", ",""))</f>
        <v/>
      </c>
      <c r="I37" s="95" t="str">
        <f>IF(OR(I34=0,SUM($E34:$S34)&lt;2),"",IF(SUM(I34:$S34)&gt;1,", ",""))</f>
        <v/>
      </c>
      <c r="J37" s="95" t="str">
        <f>IF(OR(J34=0,SUM($E34:$S34)&lt;2),"",IF(SUM(J34:$S34)&gt;1,", ",""))</f>
        <v/>
      </c>
      <c r="K37" s="95" t="str">
        <f>IF(OR(K34=0,SUM($E34:$S34)&lt;2),"",IF(SUM(K34:$S34)&gt;1,", ",""))</f>
        <v/>
      </c>
      <c r="L37" s="95" t="str">
        <f>IF(OR(L34=0,SUM($E34:$S34)&lt;2),"",IF(SUM(L34:$S34)&gt;1,", ",""))</f>
        <v/>
      </c>
      <c r="M37" s="95" t="str">
        <f>IF(OR(M34=0,SUM($E34:$S34)&lt;2),"",IF(SUM(M34:$S34)&gt;1,", ",""))</f>
        <v/>
      </c>
      <c r="N37" s="95" t="str">
        <f>IF(OR(N34=0,SUM($E34:$S34)&lt;2),"",IF(SUM(N34:$S34)&gt;1,", ",""))</f>
        <v/>
      </c>
      <c r="O37" s="95" t="str">
        <f>IF(OR(O34=0,SUM($E34:$S34)&lt;2),"",IF(SUM(O34:$S34)&gt;1,", ",""))</f>
        <v/>
      </c>
      <c r="P37" s="95" t="str">
        <f>IF(OR(P34=0,SUM($E34:$S34)&lt;2),"",IF(SUM(P34:$S34)&gt;1,", ",""))</f>
        <v/>
      </c>
      <c r="Q37" s="95" t="str">
        <f>IF(OR(Q34=0,SUM($E34:$S34)&lt;2),"",IF(SUM(Q34:$S34)&gt;1,", ",""))</f>
        <v/>
      </c>
      <c r="R37" s="95" t="str">
        <f>IF(OR(R34=0,SUM($E34:$S34)&lt;2),"",IF(SUM(R34:$S34)&gt;1,", ",""))</f>
        <v/>
      </c>
      <c r="S37" s="95" t="str">
        <f>IF(OR(S34=0,SUM($E34:$S34)&lt;2),"",IF(SUM(S34:$S34)&gt;1,", ",""))</f>
        <v/>
      </c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</row>
    <row r="38" spans="1:33" ht="15" hidden="1" customHeight="1" outlineLevel="2">
      <c r="A38" s="77"/>
      <c r="B38" s="77"/>
      <c r="C38" s="77"/>
      <c r="D38" s="94" t="s">
        <v>84</v>
      </c>
      <c r="E38" s="95" t="str">
        <f t="shared" ref="E38:S38" si="15">+IF(E34=0,"",IF(SUM($E34:$S34)=1,$D$2&amp;E35&amp;E36,$D$2&amp;E35&amp;E36&amp;" in "&amp;E$2&amp;E37))</f>
        <v/>
      </c>
      <c r="F38" s="95" t="str">
        <f t="shared" si="15"/>
        <v/>
      </c>
      <c r="G38" s="95" t="str">
        <f t="shared" si="15"/>
        <v/>
      </c>
      <c r="H38" s="95" t="str">
        <f t="shared" si="15"/>
        <v/>
      </c>
      <c r="I38" s="95" t="str">
        <f t="shared" si="15"/>
        <v/>
      </c>
      <c r="J38" s="95" t="str">
        <f t="shared" si="15"/>
        <v/>
      </c>
      <c r="K38" s="95" t="str">
        <f t="shared" si="15"/>
        <v/>
      </c>
      <c r="L38" s="95" t="str">
        <f t="shared" si="15"/>
        <v/>
      </c>
      <c r="M38" s="95" t="str">
        <f t="shared" si="15"/>
        <v/>
      </c>
      <c r="N38" s="95" t="str">
        <f t="shared" si="15"/>
        <v/>
      </c>
      <c r="O38" s="95" t="str">
        <f t="shared" si="15"/>
        <v/>
      </c>
      <c r="P38" s="95" t="str">
        <f t="shared" si="15"/>
        <v/>
      </c>
      <c r="Q38" s="95" t="str">
        <f t="shared" si="15"/>
        <v/>
      </c>
      <c r="R38" s="95" t="str">
        <f t="shared" si="15"/>
        <v/>
      </c>
      <c r="S38" s="95" t="str">
        <f t="shared" si="15"/>
        <v/>
      </c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</row>
    <row r="39" spans="1:33" ht="15" hidden="1" customHeight="1" outlineLevel="1">
      <c r="A39" s="77"/>
      <c r="B39" s="77"/>
      <c r="C39" s="77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77"/>
      <c r="U39" s="78" t="s">
        <v>85</v>
      </c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</row>
    <row r="40" spans="1:33" ht="15" hidden="1" customHeight="1" outlineLevel="1">
      <c r="A40" s="77"/>
      <c r="B40" s="73">
        <v>3</v>
      </c>
      <c r="C40" s="73"/>
      <c r="D40" s="96" t="str">
        <f>IF(SUM(E34:S34)=0,"",IF(SUM(E34:S34)=1,"FY"&amp;E32&amp;": EBIT(DA) adjusted for non-recurring income of "&amp;E38&amp;F38&amp;G38&amp;H38&amp;I38&amp;J38&amp;K38&amp;L38&amp;M38&amp;N38&amp;O38&amp;P38&amp;Q38&amp;R38&amp;S38&amp;" "&amp;U40,"FY"&amp;E32&amp;"-"&amp;E33&amp;": EBIT(DA) adjusted for non-recurring income ("&amp;E38&amp;F38&amp;G38&amp;H38&amp;I38&amp;J38&amp;K38&amp;L38&amp;M38&amp;N38&amp;O38&amp;P38&amp;Q38&amp;R38&amp;S38&amp;") "&amp;U40))</f>
        <v/>
      </c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1"/>
      <c r="T40" s="77"/>
      <c r="U40" s="79" t="str">
        <f>+IF(U59&lt;&gt;"","relating to "&amp;LOWER(U59),"")</f>
        <v/>
      </c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</row>
    <row r="41" spans="1:33" ht="15" hidden="1" customHeight="1" outlineLevel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</row>
    <row r="42" spans="1:33" ht="15" hidden="1" customHeight="1" outlineLevel="1">
      <c r="A42" s="1"/>
      <c r="B42" s="1"/>
      <c r="C42" s="1"/>
      <c r="D42" s="53" t="str">
        <f>Financials!D103</f>
        <v>Non-recurring expenses</v>
      </c>
      <c r="E42" s="72">
        <f>Financials!E103</f>
        <v>0</v>
      </c>
      <c r="F42" s="72">
        <f>Financials!F103</f>
        <v>0</v>
      </c>
      <c r="G42" s="72">
        <f>Financials!G103</f>
        <v>0</v>
      </c>
      <c r="H42" s="72">
        <f>Financials!H103</f>
        <v>0</v>
      </c>
      <c r="I42" s="72">
        <f>Financials!I103</f>
        <v>0</v>
      </c>
      <c r="J42" s="72">
        <f>Financials!J103</f>
        <v>0</v>
      </c>
      <c r="K42" s="72">
        <f>Financials!K103</f>
        <v>0</v>
      </c>
      <c r="L42" s="72">
        <f>Financials!L103</f>
        <v>0</v>
      </c>
      <c r="M42" s="72">
        <f>Financials!M103</f>
        <v>0</v>
      </c>
      <c r="N42" s="72">
        <f>Financials!N103</f>
        <v>0</v>
      </c>
      <c r="O42" s="72">
        <f>Financials!O103</f>
        <v>0</v>
      </c>
      <c r="P42" s="92"/>
      <c r="Q42" s="92"/>
      <c r="R42" s="92"/>
      <c r="S42" s="9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" hidden="1" customHeight="1" outlineLevel="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" hidden="1" customHeight="1" outlineLevel="2">
      <c r="A44" s="1"/>
      <c r="B44" s="1"/>
      <c r="C44" s="1"/>
      <c r="D44" s="94" t="s">
        <v>77</v>
      </c>
      <c r="E44" s="94" t="str">
        <f t="shared" ref="E44:S44" si="16">+IF(E47=0,"",E$2)</f>
        <v/>
      </c>
      <c r="F44" s="94" t="str">
        <f t="shared" si="16"/>
        <v/>
      </c>
      <c r="G44" s="94" t="str">
        <f t="shared" si="16"/>
        <v/>
      </c>
      <c r="H44" s="94" t="str">
        <f t="shared" si="16"/>
        <v/>
      </c>
      <c r="I44" s="94" t="str">
        <f t="shared" si="16"/>
        <v/>
      </c>
      <c r="J44" s="94" t="str">
        <f t="shared" si="16"/>
        <v/>
      </c>
      <c r="K44" s="94" t="str">
        <f t="shared" si="16"/>
        <v/>
      </c>
      <c r="L44" s="94" t="str">
        <f t="shared" si="16"/>
        <v/>
      </c>
      <c r="M44" s="94" t="str">
        <f t="shared" si="16"/>
        <v/>
      </c>
      <c r="N44" s="94" t="str">
        <f t="shared" si="16"/>
        <v/>
      </c>
      <c r="O44" s="94" t="str">
        <f t="shared" si="16"/>
        <v/>
      </c>
      <c r="P44" s="94" t="str">
        <f t="shared" si="16"/>
        <v/>
      </c>
      <c r="Q44" s="94" t="str">
        <f t="shared" si="16"/>
        <v/>
      </c>
      <c r="R44" s="94" t="str">
        <f t="shared" si="16"/>
        <v/>
      </c>
      <c r="S44" s="94" t="str">
        <f t="shared" si="16"/>
        <v/>
      </c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" hidden="1" customHeight="1" outlineLevel="2">
      <c r="A45" s="1"/>
      <c r="B45" s="1"/>
      <c r="C45" s="1"/>
      <c r="D45" s="94" t="s">
        <v>78</v>
      </c>
      <c r="E45" s="94">
        <f>+MIN(E44:S44)</f>
        <v>0</v>
      </c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" hidden="1" customHeight="1" outlineLevel="2">
      <c r="A46" s="1"/>
      <c r="B46" s="1"/>
      <c r="C46" s="1"/>
      <c r="D46" s="94" t="s">
        <v>79</v>
      </c>
      <c r="E46" s="94">
        <f>+MAX(E44:S44)</f>
        <v>0</v>
      </c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" hidden="1" customHeight="1" outlineLevel="2">
      <c r="A47" s="1"/>
      <c r="B47" s="1"/>
      <c r="C47" s="1"/>
      <c r="D47" s="94" t="s">
        <v>80</v>
      </c>
      <c r="E47" s="95">
        <f t="shared" ref="E47:S47" si="17">IF(E42=0,0,1)</f>
        <v>0</v>
      </c>
      <c r="F47" s="95">
        <f t="shared" si="17"/>
        <v>0</v>
      </c>
      <c r="G47" s="95">
        <f t="shared" si="17"/>
        <v>0</v>
      </c>
      <c r="H47" s="95">
        <f t="shared" si="17"/>
        <v>0</v>
      </c>
      <c r="I47" s="95">
        <f t="shared" si="17"/>
        <v>0</v>
      </c>
      <c r="J47" s="95">
        <f t="shared" si="17"/>
        <v>0</v>
      </c>
      <c r="K47" s="95">
        <f t="shared" si="17"/>
        <v>0</v>
      </c>
      <c r="L47" s="95">
        <f t="shared" si="17"/>
        <v>0</v>
      </c>
      <c r="M47" s="95">
        <f t="shared" si="17"/>
        <v>0</v>
      </c>
      <c r="N47" s="95">
        <f t="shared" si="17"/>
        <v>0</v>
      </c>
      <c r="O47" s="95">
        <f t="shared" si="17"/>
        <v>0</v>
      </c>
      <c r="P47" s="95">
        <f t="shared" si="17"/>
        <v>0</v>
      </c>
      <c r="Q47" s="95">
        <f t="shared" si="17"/>
        <v>0</v>
      </c>
      <c r="R47" s="95">
        <f t="shared" si="17"/>
        <v>0</v>
      </c>
      <c r="S47" s="95">
        <f t="shared" si="17"/>
        <v>0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" hidden="1" customHeight="1" outlineLevel="2">
      <c r="A48" s="1"/>
      <c r="B48" s="1"/>
      <c r="C48" s="1"/>
      <c r="D48" s="94" t="s">
        <v>81</v>
      </c>
      <c r="E48" s="95" t="str">
        <f t="shared" ref="E48:S48" si="18">+IF(E47=0,"",IF(AND(E42&lt;0.1,E42&gt;-0.1),TEXT(E42*1000,"0"),TEXT(E42,"0.0")))</f>
        <v/>
      </c>
      <c r="F48" s="95" t="str">
        <f t="shared" si="18"/>
        <v/>
      </c>
      <c r="G48" s="95" t="str">
        <f t="shared" si="18"/>
        <v/>
      </c>
      <c r="H48" s="95" t="str">
        <f t="shared" si="18"/>
        <v/>
      </c>
      <c r="I48" s="95" t="str">
        <f t="shared" si="18"/>
        <v/>
      </c>
      <c r="J48" s="95" t="str">
        <f t="shared" si="18"/>
        <v/>
      </c>
      <c r="K48" s="95" t="str">
        <f t="shared" si="18"/>
        <v/>
      </c>
      <c r="L48" s="95" t="str">
        <f t="shared" si="18"/>
        <v/>
      </c>
      <c r="M48" s="95" t="str">
        <f t="shared" si="18"/>
        <v/>
      </c>
      <c r="N48" s="95" t="str">
        <f t="shared" si="18"/>
        <v/>
      </c>
      <c r="O48" s="95" t="str">
        <f t="shared" si="18"/>
        <v/>
      </c>
      <c r="P48" s="95" t="str">
        <f t="shared" si="18"/>
        <v/>
      </c>
      <c r="Q48" s="95" t="str">
        <f t="shared" si="18"/>
        <v/>
      </c>
      <c r="R48" s="95" t="str">
        <f t="shared" si="18"/>
        <v/>
      </c>
      <c r="S48" s="95" t="str">
        <f t="shared" si="18"/>
        <v/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" hidden="1" customHeight="1" outlineLevel="2">
      <c r="A49" s="1"/>
      <c r="B49" s="1"/>
      <c r="C49" s="1"/>
      <c r="D49" s="94" t="s">
        <v>82</v>
      </c>
      <c r="E49" s="95" t="str">
        <f t="shared" ref="E49:S49" si="19">+IF(E47=0,"",IF(AND(E42&lt;0.1,E42&gt;-0.1),"k","m"))</f>
        <v/>
      </c>
      <c r="F49" s="95" t="str">
        <f t="shared" si="19"/>
        <v/>
      </c>
      <c r="G49" s="95" t="str">
        <f t="shared" si="19"/>
        <v/>
      </c>
      <c r="H49" s="95" t="str">
        <f t="shared" si="19"/>
        <v/>
      </c>
      <c r="I49" s="95" t="str">
        <f t="shared" si="19"/>
        <v/>
      </c>
      <c r="J49" s="95" t="str">
        <f t="shared" si="19"/>
        <v/>
      </c>
      <c r="K49" s="95" t="str">
        <f t="shared" si="19"/>
        <v/>
      </c>
      <c r="L49" s="95" t="str">
        <f t="shared" si="19"/>
        <v/>
      </c>
      <c r="M49" s="95" t="str">
        <f t="shared" si="19"/>
        <v/>
      </c>
      <c r="N49" s="95" t="str">
        <f t="shared" si="19"/>
        <v/>
      </c>
      <c r="O49" s="95" t="str">
        <f t="shared" si="19"/>
        <v/>
      </c>
      <c r="P49" s="95" t="str">
        <f t="shared" si="19"/>
        <v/>
      </c>
      <c r="Q49" s="95" t="str">
        <f t="shared" si="19"/>
        <v/>
      </c>
      <c r="R49" s="95" t="str">
        <f t="shared" si="19"/>
        <v/>
      </c>
      <c r="S49" s="95" t="str">
        <f t="shared" si="19"/>
        <v/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" hidden="1" customHeight="1" outlineLevel="2">
      <c r="A50" s="1"/>
      <c r="B50" s="1"/>
      <c r="C50" s="1"/>
      <c r="D50" s="94" t="s">
        <v>83</v>
      </c>
      <c r="E50" s="95" t="str">
        <f>IF(OR(E47=0,SUM($E47:$S47)&lt;2),"",IF(SUM(E47:$S47)&gt;1,", ",""))</f>
        <v/>
      </c>
      <c r="F50" s="95" t="str">
        <f>IF(OR(F47=0,SUM($E47:$S47)&lt;2),"",IF(SUM(F47:$S47)&gt;1,", ",""))</f>
        <v/>
      </c>
      <c r="G50" s="95" t="str">
        <f>IF(OR(G47=0,SUM($E47:$S47)&lt;2),"",IF(SUM(G47:$S47)&gt;1,", ",""))</f>
        <v/>
      </c>
      <c r="H50" s="95" t="str">
        <f>IF(OR(H47=0,SUM($E47:$S47)&lt;2),"",IF(SUM(H47:$S47)&gt;1,", ",""))</f>
        <v/>
      </c>
      <c r="I50" s="95" t="str">
        <f>IF(OR(I47=0,SUM($E47:$S47)&lt;2),"",IF(SUM(I47:$S47)&gt;1,", ",""))</f>
        <v/>
      </c>
      <c r="J50" s="95" t="str">
        <f>IF(OR(J47=0,SUM($E47:$S47)&lt;2),"",IF(SUM(J47:$S47)&gt;1,", ",""))</f>
        <v/>
      </c>
      <c r="K50" s="95" t="str">
        <f>IF(OR(K47=0,SUM($E47:$S47)&lt;2),"",IF(SUM(K47:$S47)&gt;1,", ",""))</f>
        <v/>
      </c>
      <c r="L50" s="95" t="str">
        <f>IF(OR(L47=0,SUM($E47:$S47)&lt;2),"",IF(SUM(L47:$S47)&gt;1,", ",""))</f>
        <v/>
      </c>
      <c r="M50" s="95" t="str">
        <f>IF(OR(M47=0,SUM($E47:$S47)&lt;2),"",IF(SUM(M47:$S47)&gt;1,", ",""))</f>
        <v/>
      </c>
      <c r="N50" s="95" t="str">
        <f>IF(OR(N47=0,SUM($E47:$S47)&lt;2),"",IF(SUM(N47:$S47)&gt;1,", ",""))</f>
        <v/>
      </c>
      <c r="O50" s="95" t="str">
        <f>IF(OR(O47=0,SUM($E47:$S47)&lt;2),"",IF(SUM(O47:$S47)&gt;1,", ",""))</f>
        <v/>
      </c>
      <c r="P50" s="95" t="str">
        <f>IF(OR(P47=0,SUM($E47:$S47)&lt;2),"",IF(SUM(P47:$S47)&gt;1,", ",""))</f>
        <v/>
      </c>
      <c r="Q50" s="95" t="str">
        <f>IF(OR(Q47=0,SUM($E47:$S47)&lt;2),"",IF(SUM(Q47:$S47)&gt;1,", ",""))</f>
        <v/>
      </c>
      <c r="R50" s="95" t="str">
        <f>IF(OR(R47=0,SUM($E47:$S47)&lt;2),"",IF(SUM(R47:$S47)&gt;1,", ",""))</f>
        <v/>
      </c>
      <c r="S50" s="95" t="str">
        <f>IF(OR(S47=0,SUM($E47:$S47)&lt;2),"",IF(SUM(S47:$S47)&gt;1,", ",""))</f>
        <v/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" hidden="1" customHeight="1" outlineLevel="2">
      <c r="A51" s="1"/>
      <c r="B51" s="1"/>
      <c r="C51" s="1"/>
      <c r="D51" s="94" t="s">
        <v>84</v>
      </c>
      <c r="E51" s="95" t="str">
        <f t="shared" ref="E51:S51" si="20">+IF(E47=0,"",IF(SUM($E47:$S47)=1,$D$2&amp;E48&amp;E49,$D$2&amp;E48&amp;E49&amp;" in "&amp;E$2&amp;E50))</f>
        <v/>
      </c>
      <c r="F51" s="95" t="str">
        <f t="shared" si="20"/>
        <v/>
      </c>
      <c r="G51" s="95" t="str">
        <f t="shared" si="20"/>
        <v/>
      </c>
      <c r="H51" s="95" t="str">
        <f t="shared" si="20"/>
        <v/>
      </c>
      <c r="I51" s="95" t="str">
        <f t="shared" si="20"/>
        <v/>
      </c>
      <c r="J51" s="95" t="str">
        <f t="shared" si="20"/>
        <v/>
      </c>
      <c r="K51" s="95" t="str">
        <f t="shared" si="20"/>
        <v/>
      </c>
      <c r="L51" s="95" t="str">
        <f t="shared" si="20"/>
        <v/>
      </c>
      <c r="M51" s="95" t="str">
        <f t="shared" si="20"/>
        <v/>
      </c>
      <c r="N51" s="95" t="str">
        <f t="shared" si="20"/>
        <v/>
      </c>
      <c r="O51" s="95" t="str">
        <f t="shared" si="20"/>
        <v/>
      </c>
      <c r="P51" s="95" t="str">
        <f t="shared" si="20"/>
        <v/>
      </c>
      <c r="Q51" s="95" t="str">
        <f t="shared" si="20"/>
        <v/>
      </c>
      <c r="R51" s="95" t="str">
        <f t="shared" si="20"/>
        <v/>
      </c>
      <c r="S51" s="95" t="str">
        <f t="shared" si="20"/>
        <v/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" hidden="1" customHeight="1" outlineLevel="1">
      <c r="A52" s="1"/>
      <c r="B52" s="1"/>
      <c r="C52" s="1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1"/>
      <c r="U52" s="78" t="s">
        <v>85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" hidden="1" customHeight="1" outlineLevel="1">
      <c r="A53" s="1"/>
      <c r="B53" s="73">
        <v>4</v>
      </c>
      <c r="C53" s="73"/>
      <c r="D53" s="96" t="str">
        <f>IF(SUM(E47:S47)=0,"",IF(SUM(E47:S47)=1,"FY"&amp;E45&amp;": EBIT(DA) adjusted for non-recurring expenses of "&amp;E51&amp;F51&amp;G51&amp;H51&amp;I51&amp;J51&amp;K51&amp;L51&amp;M51&amp;N51&amp;O51&amp;P51&amp;Q51&amp;R51&amp;S51&amp;" "&amp;U53,"FY"&amp;E45&amp;"-"&amp;E46&amp;": EBIT(DA) adjusted for non-recurring expenses ("&amp;E51&amp;F51&amp;G51&amp;H51&amp;I51&amp;J51&amp;K51&amp;L51&amp;M51&amp;N51&amp;O51&amp;P51&amp;Q51&amp;R51&amp;S51&amp;") "&amp;U53))</f>
        <v/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8"/>
      <c r="T53" s="1"/>
      <c r="U53" s="79" t="str">
        <f>+IF(U60&lt;&gt;"","relating to "&amp;LOWER(U60),"")</f>
        <v/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" hidden="1" customHeight="1" outlineLevel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" customHeight="1" collapsed="1">
      <c r="A55" s="77"/>
      <c r="B55" s="4" t="s">
        <v>86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93"/>
      <c r="Q55" s="93"/>
      <c r="R55" s="93"/>
      <c r="S55" s="93"/>
      <c r="T55" s="1"/>
      <c r="U55" s="4" t="s">
        <v>87</v>
      </c>
      <c r="V55" s="77"/>
      <c r="W55" s="4" t="s">
        <v>88</v>
      </c>
      <c r="X55" s="80" t="str">
        <f t="array" ref="X55">INDEX(Lists!$C$2:$C$20,MATCH(Financials!$D$2,Lists!$A$2:$A$20,0))</f>
        <v>zł.</v>
      </c>
      <c r="Y55" s="77"/>
      <c r="Z55" s="77"/>
      <c r="AA55" s="77"/>
      <c r="AB55" s="77"/>
      <c r="AC55" s="77"/>
      <c r="AD55" s="77"/>
      <c r="AE55" s="77"/>
      <c r="AF55" s="77"/>
      <c r="AG55" s="77"/>
    </row>
    <row r="56" spans="1:33" ht="1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</row>
    <row r="57" spans="1:33" ht="15" customHeight="1">
      <c r="A57" s="77"/>
      <c r="B57" s="81" t="str">
        <f>Financials!D100</f>
        <v>Goodwill impairment</v>
      </c>
      <c r="C57" s="82" t="s">
        <v>89</v>
      </c>
      <c r="D57" s="83" t="str">
        <f>+D14</f>
        <v/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5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</row>
    <row r="58" spans="1:33" ht="15" customHeight="1">
      <c r="A58" s="77"/>
      <c r="B58" s="81" t="str">
        <f>Financials!D101</f>
        <v>Goodwill amortisation</v>
      </c>
      <c r="C58" s="82" t="s">
        <v>89</v>
      </c>
      <c r="D58" s="83" t="str">
        <f>+D27</f>
        <v/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5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</row>
    <row r="59" spans="1:33" ht="15" customHeight="1">
      <c r="A59" s="77"/>
      <c r="B59" s="81" t="str">
        <f>Financials!D102</f>
        <v>Non-recurring income</v>
      </c>
      <c r="C59" s="82" t="s">
        <v>89</v>
      </c>
      <c r="D59" s="83" t="str">
        <f>+D40</f>
        <v/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5"/>
      <c r="T59" s="77"/>
      <c r="U59" s="39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</row>
    <row r="60" spans="1:33" ht="15" customHeight="1">
      <c r="A60" s="77"/>
      <c r="B60" s="81" t="str">
        <f>Financials!D103</f>
        <v>Non-recurring expenses</v>
      </c>
      <c r="C60" s="82" t="s">
        <v>89</v>
      </c>
      <c r="D60" s="83" t="str">
        <f>+D53</f>
        <v/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5"/>
      <c r="T60" s="77"/>
      <c r="U60" s="39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</row>
    <row r="61" spans="1:33" ht="15" customHeight="1">
      <c r="A61" s="1"/>
      <c r="B61" s="81">
        <v>1</v>
      </c>
      <c r="C61" s="73"/>
      <c r="D61" s="86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6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" customHeight="1">
      <c r="A62" s="1"/>
      <c r="B62" s="81">
        <f t="shared" ref="B62:B66" si="21">+B61+1</f>
        <v>2</v>
      </c>
      <c r="C62" s="73"/>
      <c r="D62" s="74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6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" customHeight="1">
      <c r="A63" s="1"/>
      <c r="B63" s="81">
        <f t="shared" si="21"/>
        <v>3</v>
      </c>
      <c r="C63" s="73"/>
      <c r="D63" s="74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6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" customHeight="1">
      <c r="A64" s="1"/>
      <c r="B64" s="81">
        <f t="shared" si="21"/>
        <v>4</v>
      </c>
      <c r="C64" s="73"/>
      <c r="D64" s="74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6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" customHeight="1">
      <c r="A65" s="1"/>
      <c r="B65" s="81">
        <f t="shared" si="21"/>
        <v>5</v>
      </c>
      <c r="C65" s="73"/>
      <c r="D65" s="74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6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" customHeight="1">
      <c r="A66" s="1"/>
      <c r="B66" s="81">
        <f t="shared" si="21"/>
        <v>6</v>
      </c>
      <c r="C66" s="73"/>
      <c r="D66" s="74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6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" customHeight="1">
      <c r="A67" s="1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>
      <c r="A71" s="1"/>
      <c r="B71" s="1"/>
      <c r="C71" s="1"/>
      <c r="D71" s="3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" customHeight="1">
      <c r="A72" s="1"/>
      <c r="B72" s="1"/>
      <c r="C72" s="1"/>
      <c r="D72" s="3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" customHeight="1">
      <c r="A73" s="1"/>
      <c r="B73" s="1"/>
      <c r="C73" s="1"/>
      <c r="D73" s="3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5" customHeight="1">
      <c r="A74" s="1"/>
      <c r="B74" s="1"/>
      <c r="C74" s="1"/>
      <c r="D74" s="3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5" customHeight="1">
      <c r="A75" s="1"/>
      <c r="B75" s="1"/>
      <c r="C75" s="1"/>
      <c r="D75" s="3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5" customHeight="1">
      <c r="A76" s="1"/>
      <c r="B76" s="1"/>
      <c r="C76" s="1"/>
      <c r="D76" s="3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5" customHeight="1">
      <c r="A77" s="1"/>
      <c r="B77" s="1"/>
      <c r="C77" s="1"/>
      <c r="D77" s="3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showGridLines="0" workbookViewId="0"/>
  </sheetViews>
  <sheetFormatPr baseColWidth="10" defaultColWidth="12.6640625" defaultRowHeight="15" customHeight="1"/>
  <cols>
    <col min="1" max="26" width="8.6640625" customWidth="1"/>
  </cols>
  <sheetData>
    <row r="1" spans="1:3" ht="14.25" customHeight="1">
      <c r="A1" s="87" t="s">
        <v>90</v>
      </c>
      <c r="B1" s="87" t="s">
        <v>91</v>
      </c>
      <c r="C1" s="87" t="s">
        <v>92</v>
      </c>
    </row>
    <row r="2" spans="1:3" ht="14.25" customHeight="1">
      <c r="A2" s="87" t="s">
        <v>93</v>
      </c>
      <c r="B2" s="87" t="s">
        <v>94</v>
      </c>
      <c r="C2" s="87">
        <v>1</v>
      </c>
    </row>
    <row r="3" spans="1:3" ht="14.25" customHeight="1">
      <c r="A3" s="87" t="s">
        <v>95</v>
      </c>
      <c r="B3" s="87" t="s">
        <v>96</v>
      </c>
      <c r="C3" s="87">
        <v>0.83</v>
      </c>
    </row>
    <row r="4" spans="1:3" ht="14.25" customHeight="1">
      <c r="A4" s="87" t="s">
        <v>97</v>
      </c>
      <c r="B4" s="87" t="s">
        <v>98</v>
      </c>
      <c r="C4" s="87">
        <v>1.1000000000000001</v>
      </c>
    </row>
    <row r="5" spans="1:3" ht="14.25" customHeight="1">
      <c r="A5" s="87" t="s">
        <v>99</v>
      </c>
      <c r="B5" s="87" t="s">
        <v>100</v>
      </c>
      <c r="C5" s="87">
        <v>7.9000000000000008E-3</v>
      </c>
    </row>
    <row r="6" spans="1:3" ht="14.25" customHeight="1">
      <c r="A6" s="87" t="s">
        <v>101</v>
      </c>
      <c r="B6" s="87" t="s">
        <v>102</v>
      </c>
      <c r="C6" s="87">
        <v>0.64</v>
      </c>
    </row>
    <row r="7" spans="1:3" ht="14.25" customHeight="1">
      <c r="A7" s="87" t="s">
        <v>103</v>
      </c>
      <c r="B7" s="87" t="s">
        <v>104</v>
      </c>
      <c r="C7" s="87">
        <v>0.13</v>
      </c>
    </row>
    <row r="8" spans="1:3" ht="14.25" customHeight="1">
      <c r="A8" s="87" t="s">
        <v>105</v>
      </c>
      <c r="B8" s="87" t="s">
        <v>106</v>
      </c>
      <c r="C8" s="87">
        <v>9.8000000000000004E-2</v>
      </c>
    </row>
    <row r="9" spans="1:3" ht="14.25" customHeight="1">
      <c r="A9" s="87" t="s">
        <v>107</v>
      </c>
      <c r="B9" s="87" t="s">
        <v>108</v>
      </c>
      <c r="C9" s="87">
        <v>0.57999999999999996</v>
      </c>
    </row>
    <row r="10" spans="1:3" ht="14.25" customHeight="1">
      <c r="A10" s="87" t="s">
        <v>109</v>
      </c>
      <c r="B10" s="87" t="s">
        <v>110</v>
      </c>
      <c r="C10" s="87">
        <v>0.93</v>
      </c>
    </row>
    <row r="11" spans="1:3" ht="14.25" customHeight="1">
      <c r="A11" s="87" t="s">
        <v>111</v>
      </c>
      <c r="B11" s="87" t="s">
        <v>112</v>
      </c>
      <c r="C11" s="87">
        <v>0.61</v>
      </c>
    </row>
    <row r="12" spans="1:3" ht="14.25" customHeight="1">
      <c r="A12" s="87" t="s">
        <v>113</v>
      </c>
      <c r="B12" s="87" t="s">
        <v>114</v>
      </c>
      <c r="C12" s="87">
        <v>0.13</v>
      </c>
    </row>
    <row r="13" spans="1:3" ht="14.25" customHeight="1">
      <c r="A13" s="87" t="s">
        <v>115</v>
      </c>
      <c r="B13" s="87" t="s">
        <v>116</v>
      </c>
      <c r="C13" s="87">
        <v>9.4E-2</v>
      </c>
    </row>
    <row r="14" spans="1:3" ht="14.25" customHeight="1">
      <c r="A14" s="87" t="s">
        <v>117</v>
      </c>
      <c r="B14" s="87" t="s">
        <v>118</v>
      </c>
      <c r="C14" s="87">
        <v>0.22</v>
      </c>
    </row>
    <row r="15" spans="1:3" ht="14.25" customHeight="1">
      <c r="A15" s="87" t="s">
        <v>119</v>
      </c>
      <c r="B15" s="87" t="s">
        <v>120</v>
      </c>
      <c r="C15" s="87">
        <v>3.7999999999999999E-2</v>
      </c>
    </row>
    <row r="16" spans="1:3" ht="14.25" customHeight="1">
      <c r="A16" s="87" t="s">
        <v>121</v>
      </c>
      <c r="B16" s="87" t="s">
        <v>122</v>
      </c>
      <c r="C16" s="87">
        <v>0.13</v>
      </c>
    </row>
    <row r="17" spans="1:3" ht="14.25" customHeight="1">
      <c r="A17" s="87" t="s">
        <v>123</v>
      </c>
      <c r="B17" s="87" t="s">
        <v>124</v>
      </c>
      <c r="C17" s="87">
        <v>0.11</v>
      </c>
    </row>
    <row r="18" spans="1:3" ht="14.25" customHeight="1">
      <c r="A18" s="87" t="s">
        <v>125</v>
      </c>
      <c r="B18" s="87" t="s">
        <v>126</v>
      </c>
      <c r="C18" s="87">
        <v>0.51</v>
      </c>
    </row>
    <row r="19" spans="1:3" ht="14.25" customHeight="1">
      <c r="A19" s="87" t="s">
        <v>127</v>
      </c>
      <c r="B19" s="87" t="s">
        <v>128</v>
      </c>
      <c r="C19" s="87">
        <v>2.8E-3</v>
      </c>
    </row>
    <row r="20" spans="1:3" ht="14.25" customHeight="1">
      <c r="A20" s="87" t="s">
        <v>129</v>
      </c>
      <c r="B20" s="87" t="s">
        <v>130</v>
      </c>
      <c r="C20" s="87">
        <v>6.6E-3</v>
      </c>
    </row>
    <row r="21" spans="1:3" ht="14.25" customHeight="1">
      <c r="A21" s="87" t="s">
        <v>131</v>
      </c>
      <c r="B21" s="87" t="s">
        <v>132</v>
      </c>
      <c r="C21" s="87">
        <v>0.21099999999999999</v>
      </c>
    </row>
    <row r="22" spans="1:3" ht="14.25" customHeight="1">
      <c r="A22" s="87" t="s">
        <v>133</v>
      </c>
      <c r="B22" s="87" t="s">
        <v>134</v>
      </c>
      <c r="C22" s="87">
        <v>2.9000000000000001E-2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>
      <c r="A27" s="87">
        <v>53.127000000000002</v>
      </c>
    </row>
    <row r="28" spans="1:3" ht="14.25" customHeight="1">
      <c r="A28" s="87">
        <f>A27/C4</f>
        <v>48.297272727272727</v>
      </c>
    </row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baseColWidth="10" defaultColWidth="12.6640625" defaultRowHeight="15" customHeight="1"/>
  <cols>
    <col min="1" max="1" width="10" customWidth="1"/>
    <col min="2" max="2" width="1.6640625" customWidth="1"/>
    <col min="3" max="3" width="10" customWidth="1"/>
    <col min="4" max="4" width="1.6640625" customWidth="1"/>
    <col min="5" max="26" width="10" customWidth="1"/>
  </cols>
  <sheetData>
    <row r="1" spans="1:26" ht="12.75" customHeight="1">
      <c r="A1" s="88" t="s">
        <v>88</v>
      </c>
      <c r="B1" s="88"/>
      <c r="C1" s="88" t="s">
        <v>135</v>
      </c>
      <c r="D1" s="88"/>
      <c r="E1" s="88" t="s">
        <v>136</v>
      </c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2.75" customHeight="1">
      <c r="A2" s="89" t="s">
        <v>137</v>
      </c>
      <c r="B2" s="88"/>
      <c r="C2" s="89" t="s">
        <v>138</v>
      </c>
      <c r="D2" s="88"/>
      <c r="E2" s="89" t="s">
        <v>139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2.75" customHeight="1">
      <c r="A3" s="89" t="s">
        <v>140</v>
      </c>
      <c r="B3" s="88"/>
      <c r="C3" s="89" t="s">
        <v>141</v>
      </c>
      <c r="D3" s="88"/>
      <c r="E3" s="89" t="s">
        <v>142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2.75" customHeight="1">
      <c r="A4" s="89" t="s">
        <v>143</v>
      </c>
      <c r="B4" s="88"/>
      <c r="C4" s="89" t="s">
        <v>144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2.75" customHeight="1">
      <c r="A5" s="89" t="s">
        <v>145</v>
      </c>
      <c r="B5" s="88"/>
      <c r="C5" s="89" t="s">
        <v>109</v>
      </c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2.75" customHeight="1">
      <c r="A6" s="89" t="s">
        <v>146</v>
      </c>
      <c r="B6" s="88"/>
      <c r="C6" s="89" t="s">
        <v>147</v>
      </c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2.75" customHeight="1">
      <c r="A7" s="89" t="s">
        <v>148</v>
      </c>
      <c r="B7" s="88"/>
      <c r="C7" s="89" t="s">
        <v>144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2.75" customHeight="1">
      <c r="A8" s="89" t="s">
        <v>149</v>
      </c>
      <c r="B8" s="88"/>
      <c r="C8" s="89" t="s">
        <v>150</v>
      </c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12.75" customHeight="1">
      <c r="A9" s="89" t="s">
        <v>151</v>
      </c>
      <c r="B9" s="88"/>
      <c r="C9" s="89" t="s">
        <v>152</v>
      </c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2.75" customHeight="1">
      <c r="A10" s="89" t="s">
        <v>153</v>
      </c>
      <c r="B10" s="88"/>
      <c r="C10" s="89" t="s">
        <v>144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2.75" customHeight="1">
      <c r="A11" s="89" t="s">
        <v>154</v>
      </c>
      <c r="B11" s="88"/>
      <c r="C11" s="89" t="s">
        <v>144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2.75" customHeight="1">
      <c r="A12" s="89" t="s">
        <v>155</v>
      </c>
      <c r="B12" s="88"/>
      <c r="C12" s="89" t="s">
        <v>156</v>
      </c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2.75" customHeight="1">
      <c r="A13" s="89" t="s">
        <v>0</v>
      </c>
      <c r="B13" s="88"/>
      <c r="C13" s="89" t="s">
        <v>157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2.75" customHeight="1">
      <c r="A14" s="89" t="s">
        <v>158</v>
      </c>
      <c r="B14" s="88"/>
      <c r="C14" s="89" t="s">
        <v>152</v>
      </c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2.75" customHeight="1">
      <c r="A15" s="89" t="s">
        <v>159</v>
      </c>
      <c r="B15" s="88"/>
      <c r="C15" s="89" t="s">
        <v>160</v>
      </c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2.75" customHeight="1">
      <c r="A16" s="89" t="s">
        <v>161</v>
      </c>
      <c r="B16" s="88"/>
      <c r="C16" s="89" t="s">
        <v>162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2.75" customHeight="1">
      <c r="A17" s="89" t="s">
        <v>163</v>
      </c>
      <c r="B17" s="88"/>
      <c r="C17" s="89" t="s">
        <v>164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2.7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2.7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2.7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2.7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2.7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2.7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2.7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2.7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2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2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2.7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2.7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2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2.7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2.7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2.7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2.7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2.7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2.7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2.7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2.7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2.7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2.7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2.7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2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2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2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2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2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2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2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2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2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2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2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2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2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2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2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2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2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2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2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2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2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2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2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2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2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2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2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2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2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2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2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2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2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2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2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2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2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2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2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2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2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2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2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2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2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2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2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2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2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2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2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2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2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2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2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2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2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2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2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2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2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2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2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2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2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2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2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2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2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2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2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2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2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2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2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2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2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2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2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2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2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2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2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2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2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2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2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2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2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2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2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2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2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2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2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2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2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2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2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2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2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2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2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2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2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2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2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2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2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2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2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2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2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2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2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2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2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2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2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2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2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2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2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2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2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2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2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2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2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2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2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2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2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2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2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2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2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2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2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2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2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2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2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2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2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2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2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2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2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2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2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2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2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2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2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2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2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2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2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2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2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2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2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2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2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2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2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2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2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2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2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2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2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2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2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2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2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2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2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2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2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2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2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2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2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2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2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2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2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2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2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2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2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2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2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2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2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2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2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2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2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2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2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2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2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2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2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2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2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2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2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2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2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2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2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2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2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2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2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2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2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2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2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2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2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2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2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2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2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2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2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2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2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2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2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2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2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2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2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2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2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2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2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2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2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2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2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2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2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2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2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2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2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2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2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2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2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2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2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2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2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2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2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2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2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2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2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2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2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2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2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2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2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2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2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2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2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2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2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2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2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2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2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2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2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2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2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2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2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2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2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2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2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2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2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2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2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2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2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2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2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2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2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2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2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2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2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2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2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2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2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2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2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2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2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2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2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2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2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2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2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2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2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2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2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2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2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2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2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2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2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2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2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2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2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2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2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2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2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2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2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2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2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2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2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2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2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2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2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2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2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2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2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2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2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2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2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2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2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2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2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2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2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2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2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2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2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2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2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2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2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2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2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2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2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2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2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2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2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2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2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2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2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2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2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2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2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2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2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2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2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2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2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2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2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2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2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2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2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2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2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2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2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2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2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2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2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2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2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2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2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2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2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2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2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2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2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2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2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2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2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2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2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2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2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2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2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2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2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2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2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2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2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2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2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2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2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2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2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2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2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2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2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2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2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2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2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2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2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2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2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2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2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2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2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2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2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2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2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2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2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2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2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2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2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2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2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2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2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2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2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2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2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2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2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2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2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2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2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2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2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2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2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2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2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2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2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2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2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2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2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2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2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2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2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2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2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2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2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2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2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2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2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2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2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2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2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2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2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2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2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2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2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2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2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2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2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2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2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2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2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2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2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2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2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2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2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2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2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2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2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2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2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2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2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2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2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2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2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2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2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2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2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2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2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2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2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2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2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2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2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2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2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2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2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2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2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2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2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2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2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2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2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2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2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2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2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2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2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2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2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2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2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2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2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2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2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2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2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2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2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2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2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2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2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2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2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2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2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2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2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2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2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2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2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2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2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2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2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2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2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2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2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2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2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2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2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2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2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2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2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2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2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2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2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2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2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2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2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2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2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2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2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2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2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2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2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2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2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2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2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2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2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2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2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2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2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2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2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2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2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2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2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2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2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2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2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2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2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2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2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2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2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2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2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2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2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2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2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2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2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2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2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2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2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2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2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2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2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2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2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2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2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2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2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2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2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2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2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2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2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2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2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2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2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2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2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2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2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2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2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2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2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2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2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2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2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2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2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2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2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2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2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2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2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2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2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2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2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2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2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2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2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2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2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2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2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2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2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2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2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2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2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2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2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2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2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2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2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2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2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2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2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2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2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2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2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2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2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2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2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2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2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2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2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2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2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2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2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2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2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2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2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2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2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2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2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2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2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2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2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2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2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2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2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2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2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2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2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2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2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2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2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2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2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2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2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2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2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2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2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2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2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2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2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2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2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2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2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2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2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2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2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2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2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2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2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2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2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2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2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2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2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2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2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2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2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2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2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2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2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2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2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2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2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2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2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2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2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2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2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2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2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2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2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2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2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2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2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2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2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2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2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2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2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2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2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2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2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2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2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2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2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2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2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2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2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2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2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2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2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2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2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2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2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2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2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2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2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2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2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2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2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2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2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2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2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2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2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2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2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2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2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2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2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2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2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2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2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2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2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2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2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2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2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2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2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2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2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2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2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2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2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2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2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2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2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2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2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2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2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2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2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2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2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2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2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2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2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2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2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2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2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2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2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2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2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2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2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2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2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2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2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2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2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2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2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2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2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2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2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2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2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2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2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2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2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2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2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2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2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2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2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2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2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2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2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2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2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2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2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2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2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2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2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2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2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baseColWidth="10" defaultColWidth="12.6640625" defaultRowHeight="15" customHeight="1"/>
  <cols>
    <col min="1" max="26" width="7.6640625" customWidth="1"/>
  </cols>
  <sheetData>
    <row r="1" spans="1:26" ht="12.75" customHeight="1">
      <c r="A1" s="88" t="s">
        <v>165</v>
      </c>
      <c r="B1" s="88" t="s">
        <v>166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 spans="1:26" ht="12.75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 spans="1:26" ht="12.7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 spans="1:26" ht="12.75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spans="1:26" ht="12.75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 spans="1:26" ht="12.75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 spans="1:26" ht="12.75" customHeight="1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 spans="1:26" ht="12.75" customHeight="1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 spans="1:26" ht="12.75" customHeight="1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 spans="1:26" ht="12.75" customHeight="1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 spans="1:26" ht="12.75" customHeight="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ht="12.75" customHeight="1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ht="12.75" customHeight="1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ht="12.75" customHeight="1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ht="12.75" customHeight="1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ht="12.75" customHeight="1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ht="12.7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ht="12.75" customHeight="1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ht="12.75" customHeight="1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ht="12.75" customHeight="1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ht="12.75" customHeight="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ht="12.75" customHeight="1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ht="12.75" customHeight="1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ht="12.75" customHeight="1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ht="12.75" customHeight="1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ht="12.75" customHeight="1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ht="12.75" customHeight="1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ht="12.75" customHeight="1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ht="12.75" customHeight="1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ht="12.75" customHeight="1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ht="12.7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ht="12.75" customHeight="1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26" ht="12.75" customHeight="1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 spans="1:26" ht="12.75" customHeight="1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 spans="1:26" ht="12.75" customHeight="1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 spans="1:26" ht="12.75" customHeight="1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 spans="1:26" ht="12.75" customHeight="1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 spans="1:26" ht="12.75" customHeight="1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 spans="1:26" ht="12.75" customHeight="1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 spans="1:26" ht="12.75" customHeight="1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 spans="1:26" ht="12.75" customHeight="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 spans="1:26" ht="12.75" customHeight="1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 spans="1:26" ht="12.75" customHeight="1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 spans="1:26" ht="12.75" customHeight="1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 spans="1:26" ht="12.7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 spans="1:26" ht="12.75" customHeight="1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ht="12.75" customHeight="1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 spans="1:26" ht="12.75" customHeight="1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 spans="1:26" ht="12.75" customHeight="1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 spans="1:26" ht="12.75" customHeight="1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 spans="1:26" ht="12.75" customHeight="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 spans="1:26" ht="12.75" customHeight="1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 spans="1:26" ht="12.75" customHeight="1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 spans="1:26" ht="12.75" customHeight="1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 spans="1:26" ht="12.75" customHeight="1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 spans="1:26" ht="12.75" customHeight="1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 spans="1:26" ht="12.75" customHeight="1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 spans="1:26" ht="12.75" customHeight="1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 spans="1:26" ht="12.75" customHeight="1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 spans="1:26" ht="12.75" customHeight="1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 spans="1:26" ht="12.75" customHeight="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 spans="1:26" ht="12.75" customHeight="1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 spans="1:26" ht="12.75" customHeight="1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 spans="1:26" ht="12.75" customHeight="1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 spans="1:26" ht="12.75" customHeight="1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 spans="1:26" ht="12.75" customHeight="1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 spans="1:26" ht="12.75" customHeight="1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 spans="1:26" ht="12.75" customHeight="1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 spans="1:26" ht="12.75" customHeight="1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 spans="1:26" ht="12.75" customHeight="1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 spans="1:26" ht="12.75" customHeight="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 spans="1:26" ht="12.75" customHeight="1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 spans="1:26" ht="12.75" customHeight="1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 spans="1:26" ht="12.75" customHeight="1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 spans="1:26" ht="12.75" customHeight="1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 spans="1:26" ht="12.75" customHeight="1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 spans="1:26" ht="12.75" customHeight="1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 spans="1:26" ht="12.75" customHeight="1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 spans="1:26" ht="12.75" customHeight="1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 spans="1:26" ht="12.75" customHeight="1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 spans="1:26" ht="12.75" customHeight="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 spans="1:26" ht="12.75" customHeight="1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 spans="1:26" ht="12.75" customHeight="1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 spans="1:26" ht="12.75" customHeight="1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 spans="1:26" ht="12.75" customHeight="1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 spans="1:26" ht="12.75" customHeight="1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 spans="1:26" ht="12.75" customHeight="1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 spans="1:26" ht="12.75" customHeight="1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spans="1:26" ht="12.75" customHeight="1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spans="1:26" ht="12.75" customHeight="1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spans="1:26" ht="12.75" customHeight="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spans="1:26" ht="12.75" customHeight="1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spans="1:26" ht="12.75" customHeight="1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spans="1:26" ht="12.75" customHeight="1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spans="1:26" ht="12.75" customHeight="1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spans="1:26" ht="12.75" customHeight="1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spans="1:26" ht="12.75" customHeight="1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spans="1:26" ht="12.75" customHeight="1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spans="1:26" ht="12.75" customHeight="1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spans="1:26" ht="12.75" customHeight="1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spans="1:26" ht="12.75" customHeight="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spans="1:26" ht="12.75" customHeight="1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spans="1:26" ht="12.75" customHeight="1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spans="1:26" ht="12.75" customHeight="1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spans="1:26" ht="12.75" customHeight="1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 spans="1:26" ht="12.75" customHeight="1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 spans="1:26" ht="12.75" customHeight="1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 spans="1:26" ht="12.75" customHeight="1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 spans="1:26" ht="12.75" customHeight="1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 spans="1:26" ht="12.75" customHeight="1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 spans="1:26" ht="12.75" customHeight="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 spans="1:26" ht="12.75" customHeight="1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 spans="1:26" ht="12.75" customHeight="1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 spans="1:26" ht="12.75" customHeight="1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 spans="1:26" ht="12.75" customHeight="1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 spans="1:26" ht="12.75" customHeight="1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 spans="1:26" ht="12.75" customHeight="1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 spans="1:26" ht="12.75" customHeight="1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 spans="1:26" ht="12.75" customHeight="1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 spans="1:26" ht="12.75" customHeight="1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 spans="1:26" ht="12.75" customHeight="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 spans="1:26" ht="12.75" customHeight="1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 spans="1:26" ht="12.75" customHeight="1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 spans="1:26" ht="12.75" customHeight="1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 spans="1:26" ht="12.75" customHeight="1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 spans="1:26" ht="12.75" customHeight="1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 spans="1:26" ht="12.75" customHeight="1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 spans="1:26" ht="12.75" customHeight="1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 spans="1:26" ht="12.75" customHeight="1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 spans="1:26" ht="12.75" customHeight="1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 spans="1:26" ht="12.75" customHeight="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 spans="1:26" ht="12.75" customHeight="1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 spans="1:26" ht="12.75" customHeight="1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 spans="1:26" ht="12.75" customHeight="1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 spans="1:26" ht="12.75" customHeight="1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 spans="1:26" ht="12.75" customHeight="1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 spans="1:26" ht="12.75" customHeight="1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 spans="1:26" ht="12.75" customHeight="1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 spans="1:26" ht="12.75" customHeight="1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 spans="1:26" ht="12.75" customHeight="1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 spans="1:26" ht="12.75" customHeight="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 spans="1:26" ht="12.75" customHeight="1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 spans="1:26" ht="12.75" customHeight="1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 spans="1:26" ht="12.75" customHeight="1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 spans="1:26" ht="12.75" customHeight="1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 spans="1:26" ht="12.75" customHeight="1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 spans="1:26" ht="12.75" customHeight="1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 spans="1:26" ht="12.75" customHeight="1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 spans="1:26" ht="12.75" customHeight="1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 spans="1:26" ht="12.75" customHeight="1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 spans="1:26" ht="12.75" customHeight="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 spans="1:26" ht="12.75" customHeight="1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 spans="1:26" ht="12.75" customHeight="1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 spans="1:26" ht="12.75" customHeight="1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 spans="1:26" ht="12.75" customHeight="1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 spans="1:26" ht="12.75" customHeight="1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 spans="1:26" ht="12.75" customHeight="1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 spans="1:26" ht="12.75" customHeight="1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 spans="1:26" ht="12.75" customHeight="1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 spans="1:26" ht="12.75" customHeight="1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 spans="1:26" ht="12.75" customHeight="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 spans="1:26" ht="12.75" customHeight="1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 spans="1:26" ht="12.75" customHeight="1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 spans="1:26" ht="12.75" customHeight="1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 spans="1:26" ht="12.75" customHeight="1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 spans="1:26" ht="12.75" customHeight="1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 spans="1:26" ht="12.75" customHeight="1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 spans="1:26" ht="12.75" customHeight="1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 spans="1:26" ht="12.75" customHeight="1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 spans="1:26" ht="12.75" customHeight="1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 spans="1:26" ht="12.75" customHeight="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 spans="1:26" ht="12.75" customHeight="1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 spans="1:26" ht="12.75" customHeight="1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 spans="1:26" ht="12.75" customHeight="1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 spans="1:26" ht="12.75" customHeight="1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 spans="1:26" ht="12.75" customHeight="1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 spans="1:26" ht="12.75" customHeight="1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 spans="1:26" ht="12.75" customHeight="1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 spans="1:26" ht="12.75" customHeight="1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 spans="1:26" ht="12.75" customHeight="1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 spans="1:26" ht="12.75" customHeight="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 spans="1:26" ht="12.75" customHeight="1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 spans="1:26" ht="12.75" customHeight="1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 spans="1:26" ht="12.75" customHeight="1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 spans="1:26" ht="12.75" customHeight="1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 spans="1:26" ht="12.75" customHeight="1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 spans="1:26" ht="12.75" customHeight="1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 spans="1:26" ht="12.75" customHeight="1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 spans="1:26" ht="12.75" customHeight="1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 spans="1:26" ht="12.75" customHeight="1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 spans="1:26" ht="12.75" customHeight="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 spans="1:26" ht="12.75" customHeight="1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 spans="1:26" ht="12.75" customHeight="1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 spans="1:26" ht="12.75" customHeight="1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 spans="1:26" ht="12.75" customHeight="1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 spans="1:26" ht="12.75" customHeight="1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 spans="1:26" ht="12.75" customHeight="1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 spans="1:26" ht="12.75" customHeight="1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 spans="1:26" ht="12.75" customHeight="1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 spans="1:26" ht="12.75" customHeight="1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 spans="1:26" ht="12.75" customHeight="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 spans="1:26" ht="12.75" customHeight="1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 spans="1:26" ht="12.75" customHeight="1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 spans="1:26" ht="12.75" customHeight="1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 spans="1:26" ht="12.75" customHeight="1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 spans="1:26" ht="12.75" customHeight="1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 spans="1:26" ht="12.75" customHeight="1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 spans="1:26" ht="12.75" customHeight="1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 spans="1:26" ht="12.75" customHeight="1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 spans="1:26" ht="12.75" customHeight="1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 spans="1:26" ht="12.75" customHeight="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 spans="1:26" ht="12.75" customHeight="1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 spans="1:26" ht="12.75" customHeight="1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 spans="1:26" ht="12.75" customHeight="1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 spans="1:26" ht="12.75" customHeight="1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 spans="1:26" ht="12.75" customHeight="1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 spans="1:26" ht="12.75" customHeight="1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 spans="1:26" ht="12.75" customHeight="1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 spans="1:26" ht="12.75" customHeight="1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 spans="1:26" ht="12.75" customHeight="1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 spans="1:26" ht="12.75" customHeight="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 spans="1:26" ht="12.75" customHeigh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 spans="1:26" ht="12.75" customHeight="1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 spans="1:26" ht="12.75" customHeight="1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 spans="1:26" ht="12.75" customHeight="1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 spans="1:26" ht="12.75" customHeight="1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 spans="1:26" ht="12.75" customHeight="1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 spans="1:26" ht="12.75" customHeight="1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 spans="1:26" ht="12.75" customHeight="1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 spans="1:26" ht="12.75" customHeight="1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 spans="1:26" ht="12.75" customHeight="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 spans="1:26" ht="12.75" customHeight="1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 spans="1:26" ht="12.75" customHeight="1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 spans="1:26" ht="12.75" customHeight="1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 spans="1:26" ht="12.75" customHeight="1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 spans="1:26" ht="12.75" customHeight="1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 spans="1:26" ht="12.75" customHeight="1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 spans="1:26" ht="12.75" customHeight="1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 spans="1:26" ht="12.75" customHeight="1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 spans="1:26" ht="12.75" customHeight="1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 spans="1:26" ht="12.75" customHeight="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 spans="1:26" ht="12.75" customHeight="1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 spans="1:26" ht="12.75" customHeight="1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 spans="1:26" ht="12.75" customHeigh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 spans="1:26" ht="12.75" customHeight="1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 spans="1:26" ht="12.75" customHeight="1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 spans="1:26" ht="12.75" customHeight="1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 spans="1:26" ht="12.75" customHeight="1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 spans="1:26" ht="12.75" customHeight="1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 spans="1:26" ht="12.75" customHeight="1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 spans="1:26" ht="12.75" customHeight="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 spans="1:26" ht="12.75" customHeight="1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 spans="1:26" ht="12.75" customHeight="1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 spans="1:26" ht="12.75" customHeight="1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 spans="1:26" ht="12.75" customHeight="1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 spans="1:26" ht="12.75" customHeight="1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 spans="1:26" ht="12.75" customHeight="1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 spans="1:26" ht="12.75" customHeight="1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 spans="1:26" ht="12.75" customHeight="1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 spans="1:26" ht="12.75" customHeight="1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 spans="1:26" ht="12.75" customHeight="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 spans="1:26" ht="12.75" customHeight="1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 spans="1:26" ht="12.75" customHeight="1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 spans="1:26" ht="12.75" customHeight="1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 spans="1:26" ht="12.75" customHeight="1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 spans="1:26" ht="12.75" customHeigh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 spans="1:26" ht="12.75" customHeight="1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 spans="1:26" ht="12.75" customHeight="1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 spans="1:26" ht="12.75" customHeight="1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 spans="1:26" ht="12.75" customHeight="1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 spans="1:26" ht="12.75" customHeight="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 spans="1:26" ht="12.75" customHeight="1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 spans="1:26" ht="12.75" customHeight="1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 spans="1:26" ht="12.75" customHeight="1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 spans="1:26" ht="12.75" customHeight="1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 spans="1:26" ht="12.75" customHeight="1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 spans="1:26" ht="12.75" customHeight="1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 spans="1:26" ht="12.75" customHeight="1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 spans="1:26" ht="12.75" customHeight="1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 spans="1:26" ht="12.75" customHeight="1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 spans="1:26" ht="12.75" customHeight="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 spans="1:26" ht="12.75" customHeight="1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 spans="1:26" ht="12.75" customHeight="1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 spans="1:26" ht="12.75" customHeight="1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 spans="1:26" ht="12.75" customHeight="1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 spans="1:26" ht="12.75" customHeight="1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 spans="1:26" ht="12.75" customHeight="1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 spans="1:26" ht="12.75" customHeigh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 spans="1:26" ht="12.75" customHeight="1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 spans="1:26" ht="12.75" customHeight="1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 spans="1:26" ht="12.75" customHeight="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 spans="1:26" ht="12.75" customHeight="1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 spans="1:26" ht="12.75" customHeight="1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 spans="1:26" ht="12.75" customHeight="1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 spans="1:26" ht="12.75" customHeight="1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 spans="1:26" ht="12.75" customHeight="1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 spans="1:26" ht="12.75" customHeight="1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 spans="1:26" ht="12.75" customHeight="1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 spans="1:26" ht="12.75" customHeight="1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 spans="1:26" ht="12.75" customHeight="1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 spans="1:26" ht="12.75" customHeight="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 spans="1:26" ht="12.75" customHeight="1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 spans="1:26" ht="12.75" customHeight="1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 spans="1:26" ht="12.75" customHeight="1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 spans="1:26" ht="12.75" customHeight="1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 spans="1:26" ht="12.75" customHeight="1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 spans="1:26" ht="12.75" customHeight="1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 spans="1:26" ht="12.75" customHeight="1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 spans="1:26" ht="12.75" customHeight="1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 spans="1:26" ht="12.75" customHeight="1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 spans="1:26" ht="12.75" customHeight="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 spans="1:26" ht="12.75" customHeight="1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 spans="1:26" ht="12.75" customHeight="1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 spans="1:26" ht="12.75" customHeight="1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 spans="1:26" ht="12.75" customHeight="1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 spans="1:26" ht="12.75" customHeight="1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 spans="1:26" ht="12.75" customHeight="1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 spans="1:26" ht="12.75" customHeight="1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 spans="1:26" ht="12.75" customHeight="1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 spans="1:26" ht="12.75" customHeight="1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 spans="1:26" ht="12.75" customHeight="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 spans="1:26" ht="12.75" customHeight="1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 spans="1:26" ht="12.75" customHeight="1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 spans="1:26" ht="12.75" customHeight="1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 spans="1:26" ht="12.75" customHeight="1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 spans="1:26" ht="12.75" customHeight="1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 spans="1:26" ht="12.75" customHeight="1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 spans="1:26" ht="12.75" customHeight="1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 spans="1:26" ht="12.75" customHeight="1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 spans="1:26" ht="12.75" customHeight="1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 spans="1:26" ht="12.75" customHeight="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 spans="1:26" ht="12.75" customHeight="1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 spans="1:26" ht="12.75" customHeight="1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 spans="1:26" ht="12.75" customHeight="1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 spans="1:26" ht="12.75" customHeight="1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 spans="1:26" ht="12.75" customHeight="1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 spans="1:26" ht="12.75" customHeight="1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 spans="1:26" ht="12.75" customHeight="1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 spans="1:26" ht="12.75" customHeight="1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 spans="1:26" ht="12.75" customHeight="1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 spans="1:26" ht="12.75" customHeight="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 spans="1:26" ht="12.75" customHeight="1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 spans="1:26" ht="12.75" customHeight="1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 spans="1:26" ht="12.75" customHeight="1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 spans="1:26" ht="12.75" customHeight="1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 spans="1:26" ht="12.75" customHeight="1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 spans="1:26" ht="12.75" customHeight="1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 spans="1:26" ht="12.75" customHeight="1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 spans="1:26" ht="12.75" customHeight="1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 spans="1:26" ht="12.75" customHeight="1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 spans="1:26" ht="12.75" customHeight="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 spans="1:26" ht="12.75" customHeight="1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 spans="1:26" ht="12.75" customHeight="1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 spans="1:26" ht="12.75" customHeight="1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 spans="1:26" ht="12.75" customHeight="1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 spans="1:26" ht="12.75" customHeight="1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 spans="1:26" ht="12.75" customHeight="1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 spans="1:26" ht="12.75" customHeight="1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 spans="1:26" ht="12.75" customHeight="1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 spans="1:26" ht="12.75" customHeight="1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 spans="1:26" ht="12.75" customHeight="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 spans="1:26" ht="12.75" customHeight="1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 spans="1:26" ht="12.75" customHeight="1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 spans="1:26" ht="12.75" customHeight="1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 spans="1:26" ht="12.75" customHeight="1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 spans="1:26" ht="12.75" customHeight="1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 spans="1:26" ht="12.75" customHeight="1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 spans="1:26" ht="12.75" customHeight="1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 spans="1:26" ht="12.75" customHeight="1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 spans="1:26" ht="12.75" customHeight="1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 spans="1:26" ht="12.75" customHeight="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 spans="1:26" ht="12.75" customHeight="1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 spans="1:26" ht="12.75" customHeight="1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 spans="1:26" ht="12.75" customHeight="1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 spans="1:26" ht="12.75" customHeight="1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 spans="1:26" ht="12.75" customHeight="1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 spans="1:26" ht="12.75" customHeight="1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 spans="1:26" ht="12.75" customHeight="1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 spans="1:26" ht="12.75" customHeight="1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 spans="1:26" ht="12.75" customHeight="1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 spans="1:26" ht="12.75" customHeight="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 spans="1:26" ht="12.75" customHeight="1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 spans="1:26" ht="12.75" customHeight="1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 spans="1:26" ht="12.75" customHeight="1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 spans="1:26" ht="12.75" customHeight="1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 spans="1:26" ht="12.75" customHeight="1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 spans="1:26" ht="12.75" customHeight="1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 spans="1:26" ht="12.75" customHeight="1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 spans="1:26" ht="12.75" customHeight="1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 spans="1:26" ht="12.75" customHeight="1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 spans="1:26" ht="12.75" customHeight="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 spans="1:26" ht="12.75" customHeight="1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 spans="1:26" ht="12.75" customHeight="1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 spans="1:26" ht="12.75" customHeight="1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 spans="1:26" ht="12.75" customHeight="1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 spans="1:26" ht="12.75" customHeight="1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 spans="1:26" ht="12.75" customHeight="1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 spans="1:26" ht="12.75" customHeight="1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 spans="1:26" ht="12.75" customHeight="1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 spans="1:26" ht="12.75" customHeight="1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 spans="1:26" ht="12.75" customHeight="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 spans="1:26" ht="12.75" customHeight="1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 spans="1:26" ht="12.75" customHeight="1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 spans="1:26" ht="12.75" customHeight="1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 spans="1:26" ht="12.75" customHeight="1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 spans="1:26" ht="12.75" customHeight="1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 spans="1:26" ht="12.75" customHeight="1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 spans="1:26" ht="12.75" customHeight="1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 spans="1:26" ht="12.75" customHeight="1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 spans="1:26" ht="12.75" customHeight="1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 spans="1:26" ht="12.75" customHeight="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 spans="1:26" ht="12.75" customHeight="1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 spans="1:26" ht="12.75" customHeight="1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 spans="1:26" ht="12.75" customHeight="1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 spans="1:26" ht="12.75" customHeight="1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 spans="1:26" ht="12.75" customHeight="1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 spans="1:26" ht="12.75" customHeight="1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 spans="1:26" ht="12.75" customHeight="1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 spans="1:26" ht="12.75" customHeight="1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 spans="1:26" ht="12.75" customHeight="1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 spans="1:26" ht="12.75" customHeight="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 spans="1:26" ht="12.75" customHeight="1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 spans="1:26" ht="12.75" customHeight="1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 spans="1:26" ht="12.75" customHeight="1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 spans="1:26" ht="12.75" customHeight="1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 spans="1:26" ht="12.75" customHeight="1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 spans="1:26" ht="12.75" customHeight="1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 spans="1:26" ht="12.75" customHeight="1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 spans="1:26" ht="12.75" customHeight="1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 spans="1:26" ht="12.75" customHeight="1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 spans="1:26" ht="12.75" customHeight="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 spans="1:26" ht="12.75" customHeight="1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 spans="1:26" ht="12.75" customHeight="1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 spans="1:26" ht="12.75" customHeight="1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 spans="1:26" ht="12.75" customHeight="1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 spans="1:26" ht="12.75" customHeight="1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 spans="1:26" ht="12.75" customHeight="1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 spans="1:26" ht="12.75" customHeight="1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 spans="1:26" ht="12.75" customHeight="1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 spans="1:26" ht="12.75" customHeight="1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 spans="1:26" ht="12.75" customHeight="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 spans="1:26" ht="12.75" customHeight="1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 spans="1:26" ht="12.75" customHeight="1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 spans="1:26" ht="12.75" customHeight="1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 spans="1:26" ht="12.75" customHeight="1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 spans="1:26" ht="12.75" customHeight="1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 spans="1:26" ht="12.75" customHeight="1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 spans="1:26" ht="12.75" customHeight="1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 spans="1:26" ht="12.75" customHeight="1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 spans="1:26" ht="12.75" customHeight="1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 spans="1:26" ht="12.75" customHeight="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 spans="1:26" ht="12.75" customHeight="1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 spans="1:26" ht="12.75" customHeight="1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 spans="1:26" ht="12.75" customHeight="1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 spans="1:26" ht="12.75" customHeight="1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 spans="1:26" ht="12.75" customHeight="1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 spans="1:26" ht="12.75" customHeight="1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 spans="1:26" ht="12.75" customHeight="1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 spans="1:26" ht="12.75" customHeight="1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 spans="1:26" ht="12.75" customHeight="1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 spans="1:26" ht="12.75" customHeight="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 spans="1:26" ht="12.75" customHeight="1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 spans="1:26" ht="12.75" customHeight="1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 spans="1:26" ht="12.75" customHeight="1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 spans="1:26" ht="12.75" customHeight="1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 spans="1:26" ht="12.75" customHeight="1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 spans="1:26" ht="12.75" customHeight="1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 spans="1:26" ht="12.75" customHeight="1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 spans="1:26" ht="12.75" customHeight="1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 spans="1:26" ht="12.75" customHeight="1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 spans="1:26" ht="12.75" customHeight="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 spans="1:26" ht="12.75" customHeight="1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 spans="1:26" ht="12.75" customHeight="1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 spans="1:26" ht="12.75" customHeight="1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 spans="1:26" ht="12.75" customHeight="1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 spans="1:26" ht="12.75" customHeight="1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 spans="1:26" ht="12.75" customHeight="1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 spans="1:26" ht="12.75" customHeight="1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 spans="1:26" ht="12.75" customHeight="1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 spans="1:26" ht="12.75" customHeight="1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 spans="1:26" ht="12.75" customHeight="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 spans="1:26" ht="12.75" customHeight="1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 spans="1:26" ht="12.75" customHeight="1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 spans="1:26" ht="12.75" customHeight="1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 spans="1:26" ht="12.75" customHeight="1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 spans="1:26" ht="12.75" customHeight="1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 spans="1:26" ht="12.75" customHeight="1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 spans="1:26" ht="12.75" customHeight="1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 spans="1:26" ht="12.75" customHeight="1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 spans="1:26" ht="12.75" customHeight="1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 spans="1:26" ht="12.75" customHeight="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 spans="1:26" ht="12.75" customHeight="1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 spans="1:26" ht="12.75" customHeight="1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 spans="1:26" ht="12.75" customHeight="1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 spans="1:26" ht="12.75" customHeight="1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 spans="1:26" ht="12.75" customHeight="1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 spans="1:26" ht="12.75" customHeight="1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 spans="1:26" ht="12.75" customHeight="1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 spans="1:26" ht="12.75" customHeight="1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 spans="1:26" ht="12.75" customHeight="1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 spans="1:26" ht="12.75" customHeight="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 spans="1:26" ht="12.75" customHeight="1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 spans="1:26" ht="12.75" customHeight="1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 spans="1:26" ht="12.75" customHeight="1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 spans="1:26" ht="12.75" customHeight="1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 spans="1:26" ht="12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 spans="1:26" ht="12.75" customHeight="1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 spans="1:26" ht="12.75" customHeight="1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 spans="1:26" ht="12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 spans="1:26" ht="12.75" customHeight="1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 spans="1:26" ht="12.75" customHeight="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 spans="1:26" ht="12.75" customHeight="1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 spans="1:26" ht="12.75" customHeight="1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 spans="1:26" ht="12.75" customHeight="1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 spans="1:26" ht="12.75" customHeight="1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 spans="1:26" ht="12.75" customHeight="1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 spans="1:26" ht="12.75" customHeight="1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 spans="1:26" ht="12.75" customHeight="1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 spans="1:26" ht="12.75" customHeight="1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 spans="1:26" ht="12.75" customHeight="1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 spans="1:26" ht="12.75" customHeight="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 spans="1:26" ht="12.75" customHeight="1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 spans="1:26" ht="12.75" customHeight="1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 spans="1:26" ht="12.75" customHeight="1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 spans="1:26" ht="12.75" customHeight="1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 spans="1:26" ht="12.75" customHeight="1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 spans="1:26" ht="12.75" customHeight="1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 spans="1:26" ht="12.75" customHeight="1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 spans="1:26" ht="12.75" customHeight="1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 spans="1:26" ht="12.75" customHeight="1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 spans="1:26" ht="12.75" customHeight="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 spans="1:26" ht="12.75" customHeight="1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 spans="1:26" ht="12.75" customHeight="1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 spans="1:26" ht="12.75" customHeight="1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 spans="1:26" ht="12.75" customHeight="1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 spans="1:26" ht="12.75" customHeight="1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 spans="1:26" ht="12.75" customHeight="1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 spans="1:26" ht="12.75" customHeight="1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 spans="1:26" ht="12.75" customHeight="1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 spans="1:26" ht="12.75" customHeight="1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 spans="1:26" ht="12.75" customHeight="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 spans="1:26" ht="12.75" customHeight="1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 spans="1:26" ht="12.75" customHeight="1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 spans="1:26" ht="12.75" customHeight="1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 spans="1:26" ht="12.75" customHeight="1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 spans="1:26" ht="12.75" customHeight="1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 spans="1:26" ht="12.75" customHeight="1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 spans="1:26" ht="12.75" customHeight="1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 spans="1:26" ht="12.75" customHeight="1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 spans="1:26" ht="12.75" customHeight="1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 spans="1:26" ht="12.75" customHeight="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 spans="1:26" ht="12.75" customHeight="1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 spans="1:26" ht="12.75" customHeight="1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 spans="1:26" ht="12.75" customHeight="1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 spans="1:26" ht="12.75" customHeight="1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 spans="1:26" ht="12.75" customHeight="1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 spans="1:26" ht="12.75" customHeight="1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 spans="1:26" ht="12.75" customHeight="1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 spans="1:26" ht="12.75" customHeight="1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 spans="1:26" ht="12.75" customHeight="1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 spans="1:26" ht="12.75" customHeight="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 spans="1:26" ht="12.75" customHeight="1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 spans="1:26" ht="12.75" customHeight="1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 spans="1:26" ht="12.75" customHeight="1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 spans="1:26" ht="12.75" customHeight="1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 spans="1:26" ht="12.75" customHeight="1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 spans="1:26" ht="12.75" customHeight="1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 spans="1:26" ht="12.75" customHeight="1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 spans="1:26" ht="12.75" customHeight="1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 spans="1:26" ht="12.75" customHeight="1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 spans="1:26" ht="12.75" customHeight="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 spans="1:26" ht="12.75" customHeight="1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 spans="1:26" ht="12.75" customHeight="1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 spans="1:26" ht="12.75" customHeight="1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 spans="1:26" ht="12.75" customHeight="1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 spans="1:26" ht="12.75" customHeight="1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 spans="1:26" ht="12.75" customHeight="1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 spans="1:26" ht="12.75" customHeight="1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 spans="1:26" ht="12.75" customHeight="1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 spans="1:26" ht="12.75" customHeight="1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 spans="1:26" ht="12.75" customHeight="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 spans="1:26" ht="12.75" customHeight="1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 spans="1:26" ht="12.75" customHeight="1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 spans="1:26" ht="12.75" customHeight="1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 spans="1:26" ht="12.75" customHeight="1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 spans="1:26" ht="12.75" customHeight="1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 spans="1:26" ht="12.75" customHeight="1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 spans="1:26" ht="12.75" customHeight="1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 spans="1:26" ht="12.75" customHeight="1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 spans="1:26" ht="12.75" customHeight="1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 spans="1:26" ht="12.75" customHeight="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 spans="1:26" ht="12.75" customHeight="1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 spans="1:26" ht="12.75" customHeight="1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 spans="1:26" ht="12.75" customHeight="1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 spans="1:26" ht="12.75" customHeight="1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 spans="1:26" ht="12.75" customHeight="1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 spans="1:26" ht="12.75" customHeight="1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 spans="1:26" ht="12.75" customHeight="1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 spans="1:26" ht="12.75" customHeight="1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 spans="1:26" ht="12.75" customHeight="1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 spans="1:26" ht="12.75" customHeight="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 spans="1:26" ht="12.75" customHeight="1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 spans="1:26" ht="12.75" customHeight="1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 spans="1:26" ht="12.75" customHeight="1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 spans="1:26" ht="12.75" customHeight="1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 spans="1:26" ht="12.75" customHeight="1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 spans="1:26" ht="12.75" customHeight="1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 spans="1:26" ht="12.75" customHeight="1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 spans="1:26" ht="12.75" customHeight="1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 spans="1:26" ht="12.75" customHeight="1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 spans="1:26" ht="12.75" customHeight="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 spans="1:26" ht="12.75" customHeight="1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 spans="1:26" ht="12.75" customHeight="1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 spans="1:26" ht="12.75" customHeight="1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 spans="1:26" ht="12.75" customHeight="1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 spans="1:26" ht="12.75" customHeight="1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 spans="1:26" ht="12.75" customHeight="1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 spans="1:26" ht="12.75" customHeight="1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 spans="1:26" ht="12.75" customHeight="1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 spans="1:26" ht="12.75" customHeight="1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 spans="1:26" ht="12.75" customHeight="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 spans="1:26" ht="12.75" customHeight="1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 spans="1:26" ht="12.75" customHeight="1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 spans="1:26" ht="12.75" customHeight="1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 spans="1:26" ht="12.75" customHeight="1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 spans="1:26" ht="12.75" customHeight="1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 spans="1:26" ht="12.75" customHeight="1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 spans="1:26" ht="12.75" customHeight="1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 spans="1:26" ht="12.75" customHeight="1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 spans="1:26" ht="12.75" customHeight="1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 spans="1:26" ht="12.75" customHeight="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 spans="1:26" ht="12.75" customHeight="1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 spans="1:26" ht="12.75" customHeight="1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 spans="1:26" ht="12.75" customHeight="1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 spans="1:26" ht="12.75" customHeight="1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 spans="1:26" ht="12.75" customHeight="1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 spans="1:26" ht="12.75" customHeight="1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 spans="1:26" ht="12.75" customHeight="1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 spans="1:26" ht="12.75" customHeight="1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 spans="1:26" ht="12.75" customHeight="1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 spans="1:26" ht="12.75" customHeight="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 spans="1:26" ht="12.75" customHeight="1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 spans="1:26" ht="12.75" customHeight="1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 spans="1:26" ht="12.75" customHeight="1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 spans="1:26" ht="12.75" customHeight="1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 spans="1:26" ht="12.75" customHeight="1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 spans="1:26" ht="12.75" customHeight="1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 spans="1:26" ht="12.75" customHeight="1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 spans="1:26" ht="12.75" customHeight="1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 spans="1:26" ht="12.75" customHeight="1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 spans="1:26" ht="12.75" customHeight="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 spans="1:26" ht="12.75" customHeight="1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 spans="1:26" ht="12.75" customHeight="1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 spans="1:26" ht="12.75" customHeight="1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 spans="1:26" ht="12.75" customHeight="1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 spans="1:26" ht="12.75" customHeight="1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 spans="1:26" ht="12.75" customHeight="1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 spans="1:26" ht="12.75" customHeight="1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 spans="1:26" ht="12.75" customHeight="1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 spans="1:26" ht="12.75" customHeight="1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 spans="1:26" ht="12.75" customHeight="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 spans="1:26" ht="12.75" customHeight="1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 spans="1:26" ht="12.75" customHeight="1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 spans="1:26" ht="12.75" customHeight="1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 spans="1:26" ht="12.75" customHeight="1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 spans="1:26" ht="12.75" customHeight="1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 spans="1:26" ht="12.75" customHeight="1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 spans="1:26" ht="12.75" customHeight="1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 spans="1:26" ht="12.75" customHeight="1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 spans="1:26" ht="12.75" customHeight="1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 spans="1:26" ht="12.75" customHeight="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 spans="1:26" ht="12.75" customHeight="1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 spans="1:26" ht="12.75" customHeight="1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 spans="1:26" ht="12.75" customHeight="1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 spans="1:26" ht="12.75" customHeight="1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 spans="1:26" ht="12.75" customHeight="1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 spans="1:26" ht="12.75" customHeight="1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 spans="1:26" ht="12.75" customHeight="1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 spans="1:26" ht="12.75" customHeight="1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 spans="1:26" ht="12.75" customHeight="1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 spans="1:26" ht="12.75" customHeight="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 spans="1:26" ht="12.75" customHeight="1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 spans="1:26" ht="12.75" customHeight="1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 spans="1:26" ht="12.75" customHeight="1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 spans="1:26" ht="12.75" customHeight="1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 spans="1:26" ht="12.75" customHeight="1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 spans="1:26" ht="12.75" customHeight="1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 spans="1:26" ht="12.75" customHeight="1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 spans="1:26" ht="12.75" customHeight="1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 spans="1:26" ht="12.75" customHeight="1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 spans="1:26" ht="12.75" customHeight="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 spans="1:26" ht="12.75" customHeight="1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 spans="1:26" ht="12.75" customHeight="1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 spans="1:26" ht="12.75" customHeight="1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 spans="1:26" ht="12.75" customHeight="1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 spans="1:26" ht="12.75" customHeight="1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 spans="1:26" ht="12.75" customHeight="1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 spans="1:26" ht="12.75" customHeight="1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 spans="1:26" ht="12.75" customHeight="1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 spans="1:26" ht="12.75" customHeight="1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 spans="1:26" ht="12.75" customHeight="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 spans="1:26" ht="12.75" customHeight="1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 spans="1:26" ht="12.75" customHeight="1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 spans="1:26" ht="12.75" customHeight="1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 spans="1:26" ht="12.75" customHeight="1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 spans="1:26" ht="12.75" customHeight="1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 spans="1:26" ht="12.75" customHeight="1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 spans="1:26" ht="12.75" customHeight="1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 spans="1:26" ht="12.75" customHeight="1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 spans="1:26" ht="12.75" customHeight="1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 spans="1:26" ht="12.75" customHeight="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 spans="1:26" ht="12.75" customHeight="1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 spans="1:26" ht="12.75" customHeight="1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 spans="1:26" ht="12.75" customHeight="1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 spans="1:26" ht="12.75" customHeight="1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 spans="1:26" ht="12.75" customHeight="1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 spans="1:26" ht="12.75" customHeight="1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 spans="1:26" ht="12.75" customHeight="1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 spans="1:26" ht="12.75" customHeight="1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 spans="1:26" ht="12.75" customHeight="1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 spans="1:26" ht="12.75" customHeight="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 spans="1:26" ht="12.75" customHeight="1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 spans="1:26" ht="12.75" customHeight="1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 spans="1:26" ht="12.75" customHeight="1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 spans="1:26" ht="12.75" customHeight="1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 spans="1:26" ht="12.75" customHeight="1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 spans="1:26" ht="12.75" customHeight="1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 spans="1:26" ht="12.75" customHeight="1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 spans="1:26" ht="12.75" customHeight="1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 spans="1:26" ht="12.75" customHeight="1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 spans="1:26" ht="12.75" customHeight="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 spans="1:26" ht="12.75" customHeight="1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 spans="1:26" ht="12.75" customHeight="1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 spans="1:26" ht="12.75" customHeight="1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 spans="1:26" ht="12.75" customHeight="1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 spans="1:26" ht="12.75" customHeight="1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 spans="1:26" ht="12.75" customHeight="1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 spans="1:26" ht="12.75" customHeight="1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 spans="1:26" ht="12.75" customHeight="1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 spans="1:26" ht="12.75" customHeight="1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 spans="1:26" ht="12.75" customHeight="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 spans="1:26" ht="12.75" customHeight="1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 spans="1:26" ht="12.75" customHeight="1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 spans="1:26" ht="12.75" customHeight="1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 spans="1:26" ht="12.75" customHeight="1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 spans="1:26" ht="12.75" customHeight="1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 spans="1:26" ht="12.75" customHeight="1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 spans="1:26" ht="12.75" customHeight="1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 spans="1:26" ht="12.75" customHeight="1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 spans="1:26" ht="12.75" customHeight="1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 spans="1:26" ht="12.75" customHeight="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 spans="1:26" ht="12.75" customHeight="1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 spans="1:26" ht="12.75" customHeight="1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 spans="1:26" ht="12.75" customHeight="1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 spans="1:26" ht="12.75" customHeight="1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 spans="1:26" ht="12.75" customHeight="1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 spans="1:26" ht="12.75" customHeight="1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 spans="1:26" ht="12.75" customHeight="1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 spans="1:26" ht="12.75" customHeight="1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 spans="1:26" ht="12.75" customHeight="1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 spans="1:26" ht="12.75" customHeight="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 spans="1:26" ht="12.75" customHeight="1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 spans="1:26" ht="12.75" customHeight="1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 spans="1:26" ht="12.75" customHeight="1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 spans="1:26" ht="12.75" customHeight="1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 spans="1:26" ht="12.75" customHeight="1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 spans="1:26" ht="12.75" customHeight="1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 spans="1:26" ht="12.75" customHeight="1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 spans="1:26" ht="12.75" customHeight="1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 spans="1:26" ht="12.75" customHeight="1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 spans="1:26" ht="12.75" customHeight="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 spans="1:26" ht="12.75" customHeight="1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 spans="1:26" ht="12.75" customHeight="1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 spans="1:26" ht="12.75" customHeight="1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 spans="1:26" ht="12.75" customHeight="1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 spans="1:26" ht="12.75" customHeight="1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 spans="1:26" ht="12.75" customHeight="1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 spans="1:26" ht="12.75" customHeight="1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 spans="1:26" ht="12.75" customHeight="1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 spans="1:26" ht="12.75" customHeight="1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 spans="1:26" ht="12.75" customHeight="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 spans="1:26" ht="12.75" customHeight="1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 spans="1:26" ht="12.75" customHeight="1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 spans="1:26" ht="12.75" customHeight="1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 spans="1:26" ht="12.75" customHeight="1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 spans="1:26" ht="12.75" customHeight="1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 spans="1:26" ht="12.75" customHeight="1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 spans="1:26" ht="12.75" customHeight="1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 spans="1:26" ht="12.75" customHeight="1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 spans="1:26" ht="12.75" customHeight="1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 spans="1:26" ht="12.75" customHeight="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 spans="1:26" ht="12.75" customHeight="1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 spans="1:26" ht="12.75" customHeight="1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 spans="1:26" ht="12.75" customHeight="1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 spans="1:26" ht="12.75" customHeight="1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 spans="1:26" ht="12.75" customHeight="1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 spans="1:26" ht="12.75" customHeight="1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 spans="1:26" ht="12.75" customHeight="1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 spans="1:26" ht="12.75" customHeight="1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 spans="1:26" ht="12.75" customHeight="1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 spans="1:26" ht="12.75" customHeight="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 spans="1:26" ht="12.75" customHeight="1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 spans="1:26" ht="12.75" customHeight="1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 spans="1:26" ht="12.75" customHeight="1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 spans="1:26" ht="12.75" customHeight="1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 spans="1:26" ht="12.75" customHeight="1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 spans="1:26" ht="12.75" customHeight="1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 spans="1:26" ht="12.75" customHeight="1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 spans="1:26" ht="12.75" customHeight="1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 spans="1:26" ht="12.75" customHeight="1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 spans="1:26" ht="12.75" customHeight="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 spans="1:26" ht="12.75" customHeight="1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 spans="1:26" ht="12.75" customHeight="1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 spans="1:26" ht="12.75" customHeight="1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 spans="1:26" ht="12.75" customHeight="1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 spans="1:26" ht="12.75" customHeight="1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 spans="1:26" ht="12.75" customHeight="1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 spans="1:26" ht="12.75" customHeight="1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 spans="1:26" ht="12.75" customHeight="1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 spans="1:26" ht="12.75" customHeight="1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 spans="1:26" ht="12.75" customHeight="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 spans="1:26" ht="12.75" customHeight="1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 spans="1:26" ht="12.75" customHeight="1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 spans="1:26" ht="12.75" customHeight="1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 spans="1:26" ht="12.75" customHeight="1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 spans="1:26" ht="12.75" customHeight="1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 spans="1:26" ht="12.75" customHeight="1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 spans="1:26" ht="12.75" customHeight="1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 spans="1:26" ht="12.75" customHeight="1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 spans="1:26" ht="12.75" customHeight="1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 spans="1:26" ht="12.75" customHeight="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 spans="1:26" ht="12.75" customHeight="1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 spans="1:26" ht="12.75" customHeight="1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 spans="1:26" ht="12.75" customHeight="1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 spans="1:26" ht="12.75" customHeight="1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 spans="1:26" ht="12.75" customHeight="1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 spans="1:26" ht="12.75" customHeight="1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 spans="1:26" ht="12.75" customHeight="1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 spans="1:26" ht="12.75" customHeight="1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 spans="1:26" ht="12.75" customHeight="1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 spans="1:26" ht="12.75" customHeight="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 spans="1:26" ht="12.75" customHeight="1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 spans="1:26" ht="12.75" customHeight="1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 spans="1:26" ht="12.75" customHeight="1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 spans="1:26" ht="12.75" customHeight="1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 spans="1:26" ht="12.75" customHeight="1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 spans="1:26" ht="12.75" customHeight="1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 spans="1:26" ht="12.75" customHeight="1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 spans="1:26" ht="12.75" customHeight="1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 spans="1:26" ht="12.75" customHeight="1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 spans="1:26" ht="12.75" customHeight="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 spans="1:26" ht="12.75" customHeight="1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 spans="1:26" ht="12.75" customHeight="1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 spans="1:26" ht="12.75" customHeight="1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 spans="1:26" ht="12.75" customHeight="1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 spans="1:26" ht="12.75" customHeight="1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 spans="1:26" ht="12.75" customHeight="1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 spans="1:26" ht="12.75" customHeight="1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 spans="1:26" ht="12.75" customHeight="1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 spans="1:26" ht="12.75" customHeight="1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 spans="1:26" ht="12.75" customHeight="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 spans="1:26" ht="12.75" customHeight="1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 spans="1:26" ht="12.75" customHeight="1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 spans="1:26" ht="12.75" customHeight="1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 spans="1:26" ht="12.75" customHeight="1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 spans="1:26" ht="12.75" customHeight="1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 spans="1:26" ht="12.75" customHeight="1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 spans="1:26" ht="12.75" customHeight="1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 spans="1:26" ht="12.75" customHeight="1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 spans="1:26" ht="12.75" customHeight="1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 spans="1:26" ht="12.75" customHeight="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 spans="1:26" ht="12.75" customHeight="1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 spans="1:26" ht="12.75" customHeight="1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 spans="1:26" ht="12.75" customHeight="1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 spans="1:26" ht="12.75" customHeight="1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 spans="1:26" ht="12.75" customHeight="1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 spans="1:26" ht="12.75" customHeight="1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 spans="1:26" ht="12.75" customHeight="1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 spans="1:26" ht="12.75" customHeight="1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 spans="1:26" ht="12.75" customHeight="1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 spans="1:26" ht="12.75" customHeight="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 spans="1:26" ht="12.75" customHeight="1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 spans="1:26" ht="12.75" customHeight="1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 spans="1:26" ht="12.75" customHeight="1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 spans="1:26" ht="12.75" customHeight="1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 spans="1:26" ht="12.75" customHeight="1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 spans="1:26" ht="12.75" customHeight="1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 spans="1:26" ht="12.75" customHeight="1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 spans="1:26" ht="12.75" customHeight="1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 spans="1:26" ht="12.75" customHeight="1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 spans="1:26" ht="12.75" customHeight="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 spans="1:26" ht="12.75" customHeight="1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 spans="1:26" ht="12.75" customHeight="1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 spans="1:26" ht="12.75" customHeight="1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 spans="1:26" ht="12.75" customHeight="1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 spans="1:26" ht="12.75" customHeight="1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 spans="1:26" ht="12.75" customHeight="1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 spans="1:26" ht="12.75" customHeight="1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 spans="1:26" ht="12.75" customHeight="1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 spans="1:26" ht="12.75" customHeight="1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 spans="1:26" ht="12.75" customHeight="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 spans="1:26" ht="12.75" customHeight="1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 spans="1:26" ht="12.75" customHeight="1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 spans="1:26" ht="12.75" customHeight="1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 spans="1:26" ht="12.75" customHeight="1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 spans="1:26" ht="12.75" customHeight="1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 spans="1:26" ht="12.75" customHeight="1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 spans="1:26" ht="12.75" customHeight="1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 spans="1:26" ht="12.75" customHeight="1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 spans="1:26" ht="12.75" customHeight="1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 spans="1:26" ht="12.75" customHeight="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 spans="1:26" ht="12.75" customHeight="1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 spans="1:26" ht="12.75" customHeight="1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 spans="1:26" ht="12.75" customHeight="1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 spans="1:26" ht="12.75" customHeight="1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 spans="1:26" ht="12.75" customHeight="1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 spans="1:26" ht="12.75" customHeight="1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 spans="1:26" ht="12.75" customHeight="1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 spans="1:26" ht="12.75" customHeight="1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 spans="1:26" ht="12.75" customHeight="1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 spans="1:26" ht="12.75" customHeight="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 spans="1:26" ht="12.75" customHeight="1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 spans="1:26" ht="12.75" customHeight="1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 spans="1:26" ht="12.75" customHeight="1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 spans="1:26" ht="12.75" customHeight="1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 spans="1:26" ht="12.75" customHeight="1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 spans="1:26" ht="12.75" customHeight="1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 spans="1:26" ht="12.75" customHeight="1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 spans="1:26" ht="12.75" customHeight="1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 spans="1:26" ht="12.75" customHeight="1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 spans="1:26" ht="12.75" customHeight="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 spans="1:26" ht="12.75" customHeight="1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 spans="1:26" ht="12.75" customHeight="1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 spans="1:26" ht="12.75" customHeight="1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 spans="1:26" ht="12.75" customHeight="1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 spans="1:26" ht="12.75" customHeight="1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 spans="1:26" ht="12.75" customHeight="1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 spans="1:26" ht="12.75" customHeight="1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 spans="1:26" ht="12.75" customHeight="1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 spans="1:26" ht="12.75" customHeight="1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 spans="1:26" ht="12.75" customHeight="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 spans="1:26" ht="12.75" customHeight="1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 spans="1:26" ht="12.75" customHeight="1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 spans="1:26" ht="12.75" customHeight="1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 spans="1:26" ht="12.75" customHeight="1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 spans="1:26" ht="12.75" customHeight="1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 spans="1:26" ht="12.75" customHeight="1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 spans="1:26" ht="12.75" customHeight="1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 spans="1:26" ht="12.75" customHeight="1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 spans="1:26" ht="12.75" customHeight="1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 spans="1:26" ht="12.75" customHeight="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 spans="1:26" ht="12.75" customHeight="1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 spans="1:26" ht="12.75" customHeight="1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 spans="1:26" ht="12.75" customHeight="1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 spans="1:26" ht="12.75" customHeight="1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 spans="1:26" ht="12.75" customHeight="1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 spans="1:26" ht="12.75" customHeight="1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 spans="1:26" ht="12.75" customHeight="1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 spans="1:26" ht="12.75" customHeight="1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 spans="1:26" ht="12.75" customHeight="1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 spans="1:26" ht="12.75" customHeight="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 spans="1:26" ht="12.75" customHeight="1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 spans="1:26" ht="12.75" customHeight="1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 spans="1:26" ht="12.75" customHeight="1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 spans="1:26" ht="12.75" customHeight="1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 spans="1:26" ht="12.75" customHeight="1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 spans="1:26" ht="12.75" customHeight="1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 spans="1:26" ht="12.75" customHeight="1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 spans="1:26" ht="12.75" customHeight="1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 spans="1:26" ht="12.75" customHeight="1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 spans="1:26" ht="12.75" customHeight="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 spans="1:26" ht="12.75" customHeight="1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 spans="1:26" ht="12.75" customHeight="1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 spans="1:26" ht="12.75" customHeight="1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 spans="1:26" ht="12.75" customHeight="1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 spans="1:26" ht="12.75" customHeight="1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 spans="1:26" ht="12.75" customHeight="1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 spans="1:26" ht="12.75" customHeight="1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 spans="1:26" ht="12.75" customHeight="1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 spans="1:26" ht="12.75" customHeight="1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 spans="1:26" ht="12.75" customHeight="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 spans="1:26" ht="12.75" customHeight="1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 spans="1:26" ht="12.75" customHeight="1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 spans="1:26" ht="12.75" customHeight="1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 spans="1:26" ht="12.75" customHeight="1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 spans="1:26" ht="12.75" customHeight="1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 spans="1:26" ht="12.75" customHeight="1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 spans="1:26" ht="12.75" customHeight="1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 spans="1:26" ht="12.75" customHeight="1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 spans="1:26" ht="12.75" customHeight="1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 spans="1:26" ht="12.75" customHeight="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 spans="1:26" ht="12.75" customHeight="1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 spans="1:26" ht="12.75" customHeight="1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 spans="1:26" ht="12.75" customHeight="1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 spans="1:26" ht="12.75" customHeight="1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 spans="1:26" ht="12.75" customHeight="1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 spans="1:26" ht="12.75" customHeight="1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 spans="1:26" ht="12.75" customHeight="1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  <row r="999" spans="1:26" ht="12.75" customHeight="1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</row>
    <row r="1000" spans="1:26" ht="12.75" customHeight="1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Financials</vt:lpstr>
      <vt:lpstr>Segments</vt:lpstr>
      <vt:lpstr>Footnotes</vt:lpstr>
      <vt:lpstr>Currencies</vt:lpstr>
      <vt:lpstr>Lists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Emiel de Groot</dc:creator>
  <cp:lastModifiedBy>Gain</cp:lastModifiedBy>
  <dcterms:created xsi:type="dcterms:W3CDTF">2019-05-13T13:55:54Z</dcterms:created>
  <dcterms:modified xsi:type="dcterms:W3CDTF">2026-05-19T11:52:30Z</dcterms:modified>
</cp:coreProperties>
</file>